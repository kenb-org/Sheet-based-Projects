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macrosheets/sheet1.xml" ContentType="application/vnd.ms-excel.macro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tan\OneDrive\Desktop\VBA BASED PROJECTS\"/>
    </mc:Choice>
  </mc:AlternateContent>
  <xr:revisionPtr revIDLastSave="0" documentId="13_ncr:1_{2C57A3E1-9ECB-4BCD-828E-F03412FEEB0D}" xr6:coauthVersionLast="47" xr6:coauthVersionMax="47" xr10:uidLastSave="{00000000-0000-0000-0000-000000000000}"/>
  <bookViews>
    <workbookView xWindow="-120" yWindow="-120" windowWidth="29040" windowHeight="15720" tabRatio="993" xr2:uid="{00000000-000D-0000-FFFF-FFFF00000000}"/>
  </bookViews>
  <sheets>
    <sheet name="Vehicle Master" sheetId="2" r:id="rId1"/>
    <sheet name="Driver Master" sheetId="3" r:id="rId2"/>
    <sheet name="Work Assignment" sheetId="4" r:id="rId3"/>
    <sheet name="Maintenance Log" sheetId="5" r:id="rId4"/>
    <sheet name="Fuel Tracking" sheetId="6" r:id="rId5"/>
    <sheet name="Performance Metrics" sheetId="7" r:id="rId6"/>
    <sheet name="Macro1" sheetId="10" r:id="rId7"/>
    <sheet name="Dashboard" sheetId="1" r:id="rId8"/>
    <sheet name="Document Tracking" sheetId="8" r:id="rId9"/>
    <sheet name="Monthly Report" sheetId="9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2" i="3"/>
</calcChain>
</file>

<file path=xl/sharedStrings.xml><?xml version="1.0" encoding="utf-8"?>
<sst xmlns="http://schemas.openxmlformats.org/spreadsheetml/2006/main" count="874" uniqueCount="498">
  <si>
    <t>FLEET SUMMARY</t>
  </si>
  <si>
    <t>Total Vehicles</t>
  </si>
  <si>
    <t>Available Vehicles</t>
  </si>
  <si>
    <t>In Use</t>
  </si>
  <si>
    <t>Under Maintenance</t>
  </si>
  <si>
    <t>TRIP SUMMARY (Current Week)</t>
  </si>
  <si>
    <t>Completed Trips</t>
  </si>
  <si>
    <t>In Progress Trips</t>
  </si>
  <si>
    <t>Pending Trips</t>
  </si>
  <si>
    <t>COST SUMMARY</t>
  </si>
  <si>
    <t>Total Fuel Cost (Month)</t>
  </si>
  <si>
    <t>Total Maintenance Cost</t>
  </si>
  <si>
    <t>Total Trip Revenue</t>
  </si>
  <si>
    <t>12</t>
  </si>
  <si>
    <t>9</t>
  </si>
  <si>
    <t>2</t>
  </si>
  <si>
    <t>1</t>
  </si>
  <si>
    <t>28</t>
  </si>
  <si>
    <t>5</t>
  </si>
  <si>
    <t>3</t>
  </si>
  <si>
    <t>₹ 45,000</t>
  </si>
  <si>
    <t>₹ 12,000</t>
  </si>
  <si>
    <t>₹ 185,000</t>
  </si>
  <si>
    <t>DRIVER STATUS</t>
  </si>
  <si>
    <t>Total Drivers</t>
  </si>
  <si>
    <t>Active Today</t>
  </si>
  <si>
    <t>On Leave</t>
  </si>
  <si>
    <t>MAINTENANCE ALERTS</t>
  </si>
  <si>
    <t>Due for Service</t>
  </si>
  <si>
    <t>Due for Inspection</t>
  </si>
  <si>
    <t>Critical Issues</t>
  </si>
  <si>
    <t>PERFORMANCE METRICS</t>
  </si>
  <si>
    <t>On-Time Delivery %</t>
  </si>
  <si>
    <t>Average Vehicle Utilization</t>
  </si>
  <si>
    <t>Avg Fuel Efficiency (km/L)</t>
  </si>
  <si>
    <t>15</t>
  </si>
  <si>
    <t>14</t>
  </si>
  <si>
    <t>0</t>
  </si>
  <si>
    <t>94%</t>
  </si>
  <si>
    <t>78%</t>
  </si>
  <si>
    <t>6.5</t>
  </si>
  <si>
    <t>TRANSPORTATION LOGISTICS MASTER DASHBOARD</t>
  </si>
  <si>
    <t>V001</t>
  </si>
  <si>
    <t>V002</t>
  </si>
  <si>
    <t>V003</t>
  </si>
  <si>
    <t>V004</t>
  </si>
  <si>
    <t>V005</t>
  </si>
  <si>
    <t>V006</t>
  </si>
  <si>
    <t>V007</t>
  </si>
  <si>
    <t>V008</t>
  </si>
  <si>
    <t>V009</t>
  </si>
  <si>
    <t>V010</t>
  </si>
  <si>
    <t>V011</t>
  </si>
  <si>
    <t>V012</t>
  </si>
  <si>
    <t>Truck</t>
  </si>
  <si>
    <t>Tempo</t>
  </si>
  <si>
    <t>DL-01-XY-1001</t>
  </si>
  <si>
    <t>DL-01-XY-1002</t>
  </si>
  <si>
    <t>DL-01-XY-1003</t>
  </si>
  <si>
    <t>DL-01-XY-1004</t>
  </si>
  <si>
    <t>DL-01-XY-1005</t>
  </si>
  <si>
    <t>DL-01-XY-1006</t>
  </si>
  <si>
    <t>DL-01-XY-1007</t>
  </si>
  <si>
    <t>DL-01-XY-1008</t>
  </si>
  <si>
    <t>DL-01-XY-1009</t>
  </si>
  <si>
    <t>DL-01-XY-1010</t>
  </si>
  <si>
    <t>DL-01-XY-1011</t>
  </si>
  <si>
    <t>DL-01-XY-1012</t>
  </si>
  <si>
    <t>Tata 2518</t>
  </si>
  <si>
    <t>Ashok Leyland 2520</t>
  </si>
  <si>
    <t>Swaraj 6 Wheel</t>
  </si>
  <si>
    <t>Tata Ace</t>
  </si>
  <si>
    <t>DL01XY1001</t>
  </si>
  <si>
    <t>DL01XY1002</t>
  </si>
  <si>
    <t>DL01XY1003</t>
  </si>
  <si>
    <t>DL01XY1004</t>
  </si>
  <si>
    <t>DL01XY1005</t>
  </si>
  <si>
    <t>DL01XY1006</t>
  </si>
  <si>
    <t>DL01XY1007</t>
  </si>
  <si>
    <t>DL01XY1008</t>
  </si>
  <si>
    <t>DL01XY1009</t>
  </si>
  <si>
    <t>DL01XY1010</t>
  </si>
  <si>
    <t>DL01XY1011</t>
  </si>
  <si>
    <t>DL01XY1012</t>
  </si>
  <si>
    <t>TM2022DL001</t>
  </si>
  <si>
    <t>AL2023DL002</t>
  </si>
  <si>
    <t>TM2021DL003</t>
  </si>
  <si>
    <t>SW2020DL004</t>
  </si>
  <si>
    <t>TM2022DL005</t>
  </si>
  <si>
    <t>TA2023DL006</t>
  </si>
  <si>
    <t>AL2022DL007</t>
  </si>
  <si>
    <t>TM2023DL008</t>
  </si>
  <si>
    <t>SW2021DL009</t>
  </si>
  <si>
    <t>TM2022DL010</t>
  </si>
  <si>
    <t>TA2020DL011</t>
  </si>
  <si>
    <t>AL2023DL012</t>
  </si>
  <si>
    <t>Available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</si>
  <si>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</si>
  <si>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</si>
  <si>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</si>
  <si>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</si>
  <si>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</si>
  <si>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</si>
  <si>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</si>
  <si>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</si>
  <si>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</si>
  <si>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</si>
  <si>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</si>
  <si>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</si>
  <si>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Delhi Depot</t>
  </si>
  <si>
    <t>Route: Delhi-Gurugram</t>
  </si>
  <si>
    <t>Service Center</t>
  </si>
  <si>
    <t>Route: Gurgaon</t>
  </si>
  <si>
    <t>Route: Noida</t>
  </si>
  <si>
    <t>2025-10-15</t>
  </si>
  <si>
    <t>2025-09-20</t>
  </si>
  <si>
    <t>2025-10-01</t>
  </si>
  <si>
    <t>2025-10-25</t>
  </si>
  <si>
    <t>2025-10-28</t>
  </si>
  <si>
    <t>2025-10-10</t>
  </si>
  <si>
    <t>2025-10-20</t>
  </si>
  <si>
    <t>2025-10-05</t>
  </si>
  <si>
    <t>2025-11-15</t>
  </si>
  <si>
    <t>2025-11-01</t>
  </si>
  <si>
    <t>2025-11-25</t>
  </si>
  <si>
    <t>2025-12-28</t>
  </si>
  <si>
    <t>2025-11-10</t>
  </si>
  <si>
    <t>2025-11-20</t>
  </si>
  <si>
    <t>2025-12-05</t>
  </si>
  <si>
    <t>2025-11-22</t>
  </si>
  <si>
    <t>Vehicle ID</t>
  </si>
  <si>
    <t>Vehicle Type</t>
  </si>
  <si>
    <t>Registration No.</t>
  </si>
  <si>
    <t>Make/Model</t>
  </si>
  <si>
    <t>Year</t>
  </si>
  <si>
    <t>License Plate</t>
  </si>
  <si>
    <t>VIN</t>
  </si>
  <si>
    <t>Status</t>
  </si>
  <si>
    <t>Assigned Driver</t>
  </si>
  <si>
    <t>Current Location</t>
  </si>
  <si>
    <t>Capacity (Tons)</t>
  </si>
  <si>
    <t>Last Service Date</t>
  </si>
  <si>
    <t>Next Service Date</t>
  </si>
  <si>
    <t>D013</t>
  </si>
  <si>
    <t>D014</t>
  </si>
  <si>
    <t>D015</t>
  </si>
  <si>
    <t>Rajesh Kumar</t>
  </si>
  <si>
    <t>Amit Singh</t>
  </si>
  <si>
    <t>Priya Sharma</t>
  </si>
  <si>
    <t>Vikram Patel</t>
  </si>
  <si>
    <t>Suresh Nair</t>
  </si>
  <si>
    <t>Deepak Joshi</t>
  </si>
  <si>
    <t>Mohit Verma</t>
  </si>
  <si>
    <t>Sandeep Das</t>
  </si>
  <si>
    <t>Rohan Gupta</t>
  </si>
  <si>
    <t>Anand Kumar</t>
  </si>
  <si>
    <t>Harjeet Singh</t>
  </si>
  <si>
    <t>Karthik Reddy</t>
  </si>
  <si>
    <t>Ramesh Singh</t>
  </si>
  <si>
    <t>Naveen Kumar</t>
  </si>
  <si>
    <t>Sanjay Desai</t>
  </si>
  <si>
    <t>rajesh.k@email.com</t>
  </si>
  <si>
    <t>amit.s@email.com</t>
  </si>
  <si>
    <t>priya.sh@email.com</t>
  </si>
  <si>
    <t>vikram.p@email.com</t>
  </si>
  <si>
    <t>suresh.n@email.com</t>
  </si>
  <si>
    <t>deepak.j@email.com</t>
  </si>
  <si>
    <t>mohit.v@email.com</t>
  </si>
  <si>
    <t>sandeep.d@email.com</t>
  </si>
  <si>
    <t>rohan.g@email.com</t>
  </si>
  <si>
    <t>anand.k@email.com</t>
  </si>
  <si>
    <t>harjeet.s@email.com</t>
  </si>
  <si>
    <t>karthik.r@email.com</t>
  </si>
  <si>
    <t>ramesh.s@email.com</t>
  </si>
  <si>
    <t>naveen.k@email.com</t>
  </si>
  <si>
    <t>sanjay.d@email.com</t>
  </si>
  <si>
    <t>DL-01-20-000001</t>
  </si>
  <si>
    <t>DL-01-20-000002</t>
  </si>
  <si>
    <t>DL-01-20-000003</t>
  </si>
  <si>
    <t>DL-01-20-000004</t>
  </si>
  <si>
    <t>DL-01-20-000005</t>
  </si>
  <si>
    <t>DL-01-20-000006</t>
  </si>
  <si>
    <t>DL-01-20-000007</t>
  </si>
  <si>
    <t>DL-01-20-000008</t>
  </si>
  <si>
    <t>DL-01-20-000009</t>
  </si>
  <si>
    <t>DL-01-20-000010</t>
  </si>
  <si>
    <t>DL-01-20-000011</t>
  </si>
  <si>
    <t>DL-01-20-000012</t>
  </si>
  <si>
    <t>DL-01-20-000013</t>
  </si>
  <si>
    <t>DL-01-20-000014</t>
  </si>
  <si>
    <t>DL-01-20-000015</t>
  </si>
  <si>
    <t>2025-12-20</t>
  </si>
  <si>
    <t>Active</t>
  </si>
  <si>
    <t>HCV</t>
  </si>
  <si>
    <t>HCV, PSV</t>
  </si>
  <si>
    <t>LCV</t>
  </si>
  <si>
    <t>HCV, LCV</t>
  </si>
  <si>
    <t>Driver ID</t>
  </si>
  <si>
    <t>Full Name</t>
  </si>
  <si>
    <t>Contact Number</t>
  </si>
  <si>
    <t>Email</t>
  </si>
  <si>
    <t>License Number</t>
  </si>
  <si>
    <t>License Expiry</t>
  </si>
  <si>
    <t>Aadhar Number</t>
  </si>
  <si>
    <t>Date of Birth</t>
  </si>
  <si>
    <t>Joining Date</t>
  </si>
  <si>
    <t>Experience (Years)</t>
  </si>
  <si>
    <t>Certifications</t>
  </si>
  <si>
    <t>Emergency Contact</t>
  </si>
  <si>
    <t>T001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</si>
  <si>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</si>
  <si>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</si>
  <si>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</si>
  <si>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</si>
  <si>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</si>
  <si>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</si>
  <si>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</si>
  <si>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</si>
  <si>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</si>
  <si>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2025-11-21</t>
  </si>
  <si>
    <t>2025-11-19</t>
  </si>
  <si>
    <t>Delhi Warehouse</t>
  </si>
  <si>
    <t>Noida Plant</t>
  </si>
  <si>
    <t>Gurgaon Hub</t>
  </si>
  <si>
    <t>Delhi Market</t>
  </si>
  <si>
    <t>Factory Unit</t>
  </si>
  <si>
    <t>Noida Depot</t>
  </si>
  <si>
    <t>Delhi Central</t>
  </si>
  <si>
    <t>Gurgaon</t>
  </si>
  <si>
    <t>Lucknow</t>
  </si>
  <si>
    <t>Jaipur</t>
  </si>
  <si>
    <t>Delhi</t>
  </si>
  <si>
    <t>Nearby Stores</t>
  </si>
  <si>
    <t>Agra</t>
  </si>
  <si>
    <t>Chandigarh</t>
  </si>
  <si>
    <t>Greater Noida</t>
  </si>
  <si>
    <t>Bangalore</t>
  </si>
  <si>
    <t>Local Area</t>
  </si>
  <si>
    <t>Electronics Parts</t>
  </si>
  <si>
    <t>Machinery Equipment</t>
  </si>
  <si>
    <t>Textile Goods</t>
  </si>
  <si>
    <t>Packaged Foods</t>
  </si>
  <si>
    <t>Retail Items</t>
  </si>
  <si>
    <t>Raw Materials</t>
  </si>
  <si>
    <t>Industrial Products</t>
  </si>
  <si>
    <t>Construction Materials</t>
  </si>
  <si>
    <t>Electronic Goods</t>
  </si>
  <si>
    <t>Courier Packages</t>
  </si>
  <si>
    <t>In Progress</t>
  </si>
  <si>
    <t>Completed</t>
  </si>
  <si>
    <t>Pending</t>
  </si>
  <si>
    <t>08:30 AM</t>
  </si>
  <si>
    <t>06:00 AM</t>
  </si>
  <si>
    <t>07:00 AM</t>
  </si>
  <si>
    <t>10:00 AM</t>
  </si>
  <si>
    <t>09:00 AM</t>
  </si>
  <si>
    <t>Tomorrow</t>
  </si>
  <si>
    <t>06:30 AM</t>
  </si>
  <si>
    <t>08:00 AM</t>
  </si>
  <si>
    <t>05:45 PM</t>
  </si>
  <si>
    <t>12:30 PM</t>
  </si>
  <si>
    <t>04:00 PM</t>
  </si>
  <si>
    <t>11:00 AM</t>
  </si>
  <si>
    <t>03:00 PM</t>
  </si>
  <si>
    <t>Standard route</t>
  </si>
  <si>
    <t>Long haul</t>
  </si>
  <si>
    <t>On time delivery</t>
  </si>
  <si>
    <t>Early delivery</t>
  </si>
  <si>
    <t>Multiple stops</t>
  </si>
  <si>
    <t>Scheduled for next day</t>
  </si>
  <si>
    <t>Express delivery</t>
  </si>
  <si>
    <t>Short distance</t>
  </si>
  <si>
    <t>Inter-state delivery</t>
  </si>
  <si>
    <t>City delivery</t>
  </si>
  <si>
    <t>Trip ID</t>
  </si>
  <si>
    <t>Date</t>
  </si>
  <si>
    <t>Driver Name</t>
  </si>
  <si>
    <t>Pickup Location</t>
  </si>
  <si>
    <t>Delivery Location</t>
  </si>
  <si>
    <t>Distance (km)</t>
  </si>
  <si>
    <t>Goods Description</t>
  </si>
  <si>
    <t>Weight (Tons)</t>
  </si>
  <si>
    <t>Fare Amount</t>
  </si>
  <si>
    <t>Assigned Time</t>
  </si>
  <si>
    <t>Completed Time</t>
  </si>
  <si>
    <t>Notes</t>
  </si>
  <si>
    <t>M001</t>
  </si>
  <si>
    <t>M002</t>
  </si>
  <si>
    <t>M003</t>
  </si>
  <si>
    <t>M004</t>
  </si>
  <si>
    <t>M005</t>
  </si>
  <si>
    <t>M006</t>
  </si>
  <si>
    <t>M007</t>
  </si>
  <si>
    <t>M008</t>
  </si>
  <si>
    <t>M009</t>
  </si>
  <si>
    <t>M010</t>
  </si>
  <si>
    <t>2025-11-18</t>
  </si>
  <si>
    <t>Routine Service</t>
  </si>
  <si>
    <t>Major Repair</t>
  </si>
  <si>
    <t>Minor Repair</t>
  </si>
  <si>
    <t>Oil change, filter replacement, inspection</t>
  </si>
  <si>
    <t>Engine problem - valve replacement</t>
  </si>
  <si>
    <t>Tire rotation, brake check, fluid top-up</t>
  </si>
  <si>
    <t>Oil change, belt check, coolant flush</t>
  </si>
  <si>
    <t>Inspection, battery test, lights check</t>
  </si>
  <si>
    <t>Oil change, filter, basic inspection</t>
  </si>
  <si>
    <t>Brake pad replacement</t>
  </si>
  <si>
    <t>Full inspection, oil, filters, fluids</t>
  </si>
  <si>
    <t>Oil change, belt inspection</t>
  </si>
  <si>
    <t>Electrical issue - alternator</t>
  </si>
  <si>
    <t>Delhi Service Center</t>
  </si>
  <si>
    <t>Expert Mechanics</t>
  </si>
  <si>
    <t>Local Tempo Station</t>
  </si>
  <si>
    <t>Brake Specialists</t>
  </si>
  <si>
    <t>Electrical Repair</t>
  </si>
  <si>
    <t>Scheduled</t>
  </si>
  <si>
    <t>2025-12-10</t>
  </si>
  <si>
    <t>2025-12-15</t>
  </si>
  <si>
    <t>Preventive</t>
  </si>
  <si>
    <t>Emergency</t>
  </si>
  <si>
    <t>Maintenance</t>
  </si>
  <si>
    <t>Maintenance ID</t>
  </si>
  <si>
    <t>Service Type</t>
  </si>
  <si>
    <t>Description</t>
  </si>
  <si>
    <t>Vendor Name</t>
  </si>
  <si>
    <t>Cost</t>
  </si>
  <si>
    <t>Service Duration (Hours)</t>
  </si>
  <si>
    <t>Odometer Reading</t>
  </si>
  <si>
    <t>Issue Category</t>
  </si>
  <si>
    <t>F001</t>
  </si>
  <si>
    <t>F002</t>
  </si>
  <si>
    <t>F003</t>
  </si>
  <si>
    <t>F004</t>
  </si>
  <si>
    <t>F005</t>
  </si>
  <si>
    <t>F006</t>
  </si>
  <si>
    <t>F007</t>
  </si>
  <si>
    <t>F008</t>
  </si>
  <si>
    <t>F009</t>
  </si>
  <si>
    <t>F010</t>
  </si>
  <si>
    <t>2025-11-17</t>
  </si>
  <si>
    <t>2025-11-16</t>
  </si>
  <si>
    <t>Diesel</t>
  </si>
  <si>
    <t>Petrol</t>
  </si>
  <si>
    <t>BP Depot Delhi</t>
  </si>
  <si>
    <t>Shell Station</t>
  </si>
  <si>
    <t>Hindustan Petroleum</t>
  </si>
  <si>
    <t>Local Petrol Pump</t>
  </si>
  <si>
    <t>Low efficiency noted</t>
  </si>
  <si>
    <t>Fuel ID</t>
  </si>
  <si>
    <t>Fuel Type</t>
  </si>
  <si>
    <t>Quantity (Liters)</t>
  </si>
  <si>
    <t>Unit Price</t>
  </si>
  <si>
    <t>Total Cost</t>
  </si>
  <si>
    <t>Previous Reading</t>
  </si>
  <si>
    <t>Distance Covered (km)</t>
  </si>
  <si>
    <t>Fuel Efficiency (km/L)</t>
  </si>
  <si>
    <t>Fuel Station</t>
  </si>
  <si>
    <t>November</t>
  </si>
  <si>
    <t>October</t>
  </si>
  <si>
    <t>Month</t>
  </si>
  <si>
    <t>Total Trips</t>
  </si>
  <si>
    <t>On-Time %</t>
  </si>
  <si>
    <t>Safety Rating (1-5)</t>
  </si>
  <si>
    <t>Avg Fuel Efficiency</t>
  </si>
  <si>
    <t>Total Revenue</t>
  </si>
  <si>
    <t>Total Fuel Cost</t>
  </si>
  <si>
    <t>Net Profit</t>
  </si>
  <si>
    <t>Complaints Count</t>
  </si>
  <si>
    <t>Vehicle Damage Reports</t>
  </si>
  <si>
    <t>V001-REG</t>
  </si>
  <si>
    <t>V001-INS</t>
  </si>
  <si>
    <t>V002-REG</t>
  </si>
  <si>
    <t>V002-INS</t>
  </si>
  <si>
    <t>V003-REG</t>
  </si>
  <si>
    <t>V003-INS</t>
  </si>
  <si>
    <t>V004-REG</t>
  </si>
  <si>
    <t>V004-INS</t>
  </si>
  <si>
    <t>V005-REG</t>
  </si>
  <si>
    <t>V005-INS</t>
  </si>
  <si>
    <t>D001-LIC</t>
  </si>
  <si>
    <t>D002-LIC</t>
  </si>
  <si>
    <t>D003-LIC</t>
  </si>
  <si>
    <t>D004-LIC</t>
  </si>
  <si>
    <t>D010-LIC</t>
  </si>
  <si>
    <t>Registration Certificate</t>
  </si>
  <si>
    <t>Insurance Policy</t>
  </si>
  <si>
    <t>Driving License</t>
  </si>
  <si>
    <t>2022-01-15</t>
  </si>
  <si>
    <t>2024-01-15</t>
  </si>
  <si>
    <t>2023-01-20</t>
  </si>
  <si>
    <t>2024-06-15</t>
  </si>
  <si>
    <t>2021-06-10</t>
  </si>
  <si>
    <t>2024-02-01</t>
  </si>
  <si>
    <t>2020-12-05</t>
  </si>
  <si>
    <t>2023-12-01</t>
  </si>
  <si>
    <t>2022-03-12</t>
  </si>
  <si>
    <t>2024-03-15</t>
  </si>
  <si>
    <t>2016-05-15</t>
  </si>
  <si>
    <t>2016-08-10</t>
  </si>
  <si>
    <t>2017-02-28</t>
  </si>
  <si>
    <t>2015-12-20</t>
  </si>
  <si>
    <t>2015-11-05</t>
  </si>
  <si>
    <t>2027-01-14</t>
  </si>
  <si>
    <t>2025-01-14</t>
  </si>
  <si>
    <t>2028-01-19</t>
  </si>
  <si>
    <t>2025-06-14</t>
  </si>
  <si>
    <t>2026-06-09</t>
  </si>
  <si>
    <t>2025-01-31</t>
  </si>
  <si>
    <t>2025-12-04</t>
  </si>
  <si>
    <t>2024-11-30</t>
  </si>
  <si>
    <t>2027-03-11</t>
  </si>
  <si>
    <t>2025-03-14</t>
  </si>
  <si>
    <t>2026-05-14</t>
  </si>
  <si>
    <t>2026-08-09</t>
  </si>
  <si>
    <t>2027-02-27</t>
  </si>
  <si>
    <t>2025-12-19</t>
  </si>
  <si>
    <t>2025-11-04</t>
  </si>
  <si>
    <t>Valid</t>
  </si>
  <si>
    <t>Expiring Soon</t>
  </si>
  <si>
    <t>Expired</t>
  </si>
  <si>
    <t>RTO Delhi</t>
  </si>
  <si>
    <t>ICICI Insurance</t>
  </si>
  <si>
    <t>HDFC Insurance</t>
  </si>
  <si>
    <t>Bajaj Insurance</t>
  </si>
  <si>
    <t>New India Insurance</t>
  </si>
  <si>
    <t>2026-11-14</t>
  </si>
  <si>
    <t>2024-12-15</t>
  </si>
  <si>
    <t>2027-11-19</t>
  </si>
  <si>
    <t>2025-05-15</t>
  </si>
  <si>
    <t>2025-04-09</t>
  </si>
  <si>
    <t>2024-12-31</t>
  </si>
  <si>
    <t>2024-10-30</t>
  </si>
  <si>
    <t>2027-01-11</t>
  </si>
  <si>
    <t>2025-02-15</t>
  </si>
  <si>
    <t>2026-03-14</t>
  </si>
  <si>
    <t>2027-12-27</t>
  </si>
  <si>
    <t>2025-10-19</t>
  </si>
  <si>
    <t>2025-09-04</t>
  </si>
  <si>
    <t>Renew before December</t>
  </si>
  <si>
    <t>Renew before January</t>
  </si>
  <si>
    <t>Renew immediately</t>
  </si>
  <si>
    <t>Immediate renewal required</t>
  </si>
  <si>
    <t>Renew by December</t>
  </si>
  <si>
    <t>Document ID</t>
  </si>
  <si>
    <t>Document Type</t>
  </si>
  <si>
    <t>Issue Date</t>
  </si>
  <si>
    <t>Expiry Date</t>
  </si>
  <si>
    <t>Issuing Authority</t>
  </si>
  <si>
    <t>Renewal Reminder</t>
  </si>
  <si>
    <t>November 2025</t>
  </si>
  <si>
    <t>October 2025</t>
  </si>
  <si>
    <t>September 2025</t>
  </si>
  <si>
    <t>August 2025</t>
  </si>
  <si>
    <t>July 2025</t>
  </si>
  <si>
    <t>June 2025</t>
  </si>
  <si>
    <t>May 2025</t>
  </si>
  <si>
    <t>April 2025</t>
  </si>
  <si>
    <t>March 2025</t>
  </si>
  <si>
    <t>February 2025</t>
  </si>
  <si>
    <t>January 2025</t>
  </si>
  <si>
    <t>94.2%</t>
  </si>
  <si>
    <t>93.1%</t>
  </si>
  <si>
    <t>95.5%</t>
  </si>
  <si>
    <t>91.8%</t>
  </si>
  <si>
    <t>92.4%</t>
  </si>
  <si>
    <t>94.7%</t>
  </si>
  <si>
    <t>93.9%</t>
  </si>
  <si>
    <t>95.1%</t>
  </si>
  <si>
    <t>94.3%</t>
  </si>
  <si>
    <t>91.2%</t>
  </si>
  <si>
    <t>96.2%</t>
  </si>
  <si>
    <t>75%</t>
  </si>
  <si>
    <t>81%</t>
  </si>
  <si>
    <t>70%</t>
  </si>
  <si>
    <t>74%</t>
  </si>
  <si>
    <t>79%</t>
  </si>
  <si>
    <t>77%</t>
  </si>
  <si>
    <t>83%</t>
  </si>
  <si>
    <t>80%</t>
  </si>
  <si>
    <t>68%</t>
  </si>
  <si>
    <t>85%</t>
  </si>
  <si>
    <t>Total Trips Completed</t>
  </si>
  <si>
    <t>Total Distance (km)</t>
  </si>
  <si>
    <t>Avg On-Time %</t>
  </si>
  <si>
    <t>Vehicle Utilization %</t>
  </si>
  <si>
    <t>Safety Incidents</t>
  </si>
  <si>
    <t>Driver Complaints</t>
  </si>
  <si>
    <t>D016</t>
  </si>
  <si>
    <t>Prince Choubey</t>
  </si>
  <si>
    <t>V013</t>
  </si>
  <si>
    <t>DL-01-XY-1013</t>
  </si>
  <si>
    <t>DL01XY1013</t>
  </si>
  <si>
    <t>TM2022DL013</t>
  </si>
  <si>
    <t>Prem Nagar</t>
  </si>
  <si>
    <t>prince.c@email.com</t>
  </si>
  <si>
    <t>DL-01-20-000016</t>
  </si>
  <si>
    <t>Assigned Vehicle</t>
  </si>
  <si>
    <t>D01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</si>
</sst>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2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1" fillId="0" borderId="0" xfId="1"/>
    <xf numFmtId="9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6/relationships/xlMacrosheet" Target="macrosheets/sheet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0</xdr:rowOff>
        </xdr:from>
        <xdr:to>
          <xdr:col>18</xdr:col>
          <xdr:colOff>114300</xdr:colOff>
          <xdr:row>3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0</xdr:row>
          <xdr:rowOff>0</xdr:rowOff>
        </xdr:from>
        <xdr:to>
          <xdr:col>22</xdr:col>
          <xdr:colOff>447675</xdr:colOff>
          <xdr:row>3</xdr:row>
          <xdr:rowOff>57150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333375</xdr:colOff>
          <xdr:row>2</xdr:row>
          <xdr:rowOff>142875</xdr:rowOff>
        </xdr:from>
        <xdr:to>
          <xdr:col>11</xdr:col>
          <xdr:colOff>447675</xdr:colOff>
          <xdr:row>4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Master Sheet</a:t>
              </a:r>
            </a:p>
          </xdr:txBody>
        </xdr:sp>
        <xdr:clientData fPrintsWithSheet="0"/>
      </xdr:twoCellAnchor>
    </mc:Choice>
    <mc:Fallback/>
  </mc:AlternateContent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51E8F0FD-A496-4310-81B5-200760828A01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prince.c@email.com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6"/>
  <sheetViews>
    <sheetView tabSelected="1" workbookViewId="0">
      <selection activeCell="I10" sqref="I10"/>
    </sheetView>
  </sheetViews>
  <sheetFormatPr defaultRowHeight="15" x14ac:dyDescent="0.25"/>
  <cols>
    <col min="1" max="1" width="12.7109375" customWidth="1"/>
    <col min="2" max="2" width="14.7109375" customWidth="1"/>
    <col min="3" max="3" width="18.7109375" customWidth="1"/>
    <col min="4" max="4" width="20.7109375" customWidth="1"/>
    <col min="5" max="5" width="8.7109375" customWidth="1"/>
    <col min="6" max="6" width="15.7109375" customWidth="1"/>
    <col min="7" max="7" width="13.7109375" customWidth="1"/>
    <col min="8" max="8" width="19.7109375" customWidth="1"/>
    <col min="9" max="9" width="17.7109375" customWidth="1"/>
    <col min="10" max="10" width="23.7109375" customWidth="1"/>
    <col min="11" max="11" width="17.7109375" customWidth="1"/>
    <col min="12" max="13" width="19.7109375" customWidth="1"/>
  </cols>
  <sheetData>
    <row r="1" spans="1:13" x14ac:dyDescent="0.25">
      <c r="A1" t="s">
        <v>130</v>
      </c>
      <c r="B1" t="s">
        <v>131</v>
      </c>
      <c r="C1" t="s">
        <v>132</v>
      </c>
      <c r="D1" t="s">
        <v>133</v>
      </c>
      <c r="E1" t="s">
        <v>134</v>
      </c>
      <c r="F1" t="s">
        <v>135</v>
      </c>
      <c r="G1" t="s">
        <v>136</v>
      </c>
      <c r="H1" t="s">
        <v>137</v>
      </c>
      <c r="I1" t="s">
        <v>138</v>
      </c>
      <c r="J1" t="s">
        <v>139</v>
      </c>
      <c r="K1" t="s">
        <v>140</v>
      </c>
      <c r="L1" t="s">
        <v>141</v>
      </c>
      <c r="M1" t="s">
        <v>142</v>
      </c>
    </row>
    <row r="2" spans="1:13" x14ac:dyDescent="0.25">
      <c r="A2" t="s">
        <v>42</v>
      </c>
      <c r="B2" t="s">
        <v>54</v>
      </c>
      <c r="C2" t="s">
        <v>56</v>
      </c>
      <c r="D2" t="s">
        <v>68</v>
      </c>
      <c r="E2">
        <v>2022</v>
      </c>
      <c r="F2" t="s">
        <v>72</v>
      </c>
      <c r="G2" t="s">
        <v>84</v>
      </c>
      <c r="H2" t="s">
        <v>96</v>
      </c>
      <c r="I2" t="s">
        <v>103</v>
      </c>
      <c r="J2" t="s">
        <v>109</v>
      </c>
      <c r="K2">
        <v>18</v>
      </c>
      <c r="L2" s="1">
        <v>45945</v>
      </c>
      <c r="M2" s="1">
        <v>45976</v>
      </c>
    </row>
    <row r="3" spans="1:13" x14ac:dyDescent="0.25">
      <c r="A3" t="s">
        <v>43</v>
      </c>
      <c r="B3" t="s">
        <v>54</v>
      </c>
      <c r="C3" t="s">
        <v>57</v>
      </c>
      <c r="D3" t="s">
        <v>69</v>
      </c>
      <c r="E3">
        <v>2023</v>
      </c>
      <c r="F3" t="s">
        <v>73</v>
      </c>
      <c r="G3" t="s">
        <v>85</v>
      </c>
      <c r="H3" t="s">
        <v>3</v>
      </c>
      <c r="I3" t="s">
        <v>98</v>
      </c>
      <c r="J3" t="s">
        <v>110</v>
      </c>
      <c r="K3">
        <v>20</v>
      </c>
      <c r="L3" s="1">
        <v>45920</v>
      </c>
      <c r="M3" s="1">
        <v>45950</v>
      </c>
    </row>
    <row r="4" spans="1:13" x14ac:dyDescent="0.25">
      <c r="A4" t="s">
        <v>44</v>
      </c>
      <c r="B4" t="s">
        <v>54</v>
      </c>
      <c r="C4" t="s">
        <v>58</v>
      </c>
      <c r="D4" t="s">
        <v>68</v>
      </c>
      <c r="E4">
        <v>2021</v>
      </c>
      <c r="F4" t="s">
        <v>74</v>
      </c>
      <c r="G4" t="s">
        <v>86</v>
      </c>
      <c r="H4" t="s">
        <v>96</v>
      </c>
      <c r="I4" t="s">
        <v>99</v>
      </c>
      <c r="J4" t="s">
        <v>109</v>
      </c>
      <c r="K4">
        <v>18</v>
      </c>
      <c r="L4" s="1">
        <v>45931</v>
      </c>
      <c r="M4" s="1">
        <v>45962</v>
      </c>
    </row>
    <row r="5" spans="1:13" x14ac:dyDescent="0.25">
      <c r="A5" t="s">
        <v>45</v>
      </c>
      <c r="B5" t="s">
        <v>54</v>
      </c>
      <c r="C5" t="s">
        <v>59</v>
      </c>
      <c r="D5" t="s">
        <v>70</v>
      </c>
      <c r="E5">
        <v>2020</v>
      </c>
      <c r="F5" t="s">
        <v>75</v>
      </c>
      <c r="G5" t="s">
        <v>87</v>
      </c>
      <c r="H5" t="s">
        <v>4</v>
      </c>
      <c r="I5" t="s">
        <v>100</v>
      </c>
      <c r="J5" t="s">
        <v>111</v>
      </c>
      <c r="K5">
        <v>16</v>
      </c>
      <c r="L5" s="1">
        <v>45901</v>
      </c>
      <c r="M5" s="1">
        <v>45931</v>
      </c>
    </row>
    <row r="6" spans="1:13" x14ac:dyDescent="0.25">
      <c r="A6" t="s">
        <v>46</v>
      </c>
      <c r="B6" t="s">
        <v>54</v>
      </c>
      <c r="C6" t="s">
        <v>60</v>
      </c>
      <c r="D6" t="s">
        <v>68</v>
      </c>
      <c r="E6">
        <v>2022</v>
      </c>
      <c r="F6" t="s">
        <v>76</v>
      </c>
      <c r="G6" t="s">
        <v>88</v>
      </c>
      <c r="H6" t="s">
        <v>96</v>
      </c>
      <c r="I6" t="s">
        <v>101</v>
      </c>
      <c r="J6" t="s">
        <v>109</v>
      </c>
      <c r="K6">
        <v>18</v>
      </c>
      <c r="L6" s="1">
        <v>45955</v>
      </c>
      <c r="M6" s="1">
        <v>45986</v>
      </c>
    </row>
    <row r="7" spans="1:13" x14ac:dyDescent="0.25">
      <c r="A7" t="s">
        <v>47</v>
      </c>
      <c r="B7" t="s">
        <v>55</v>
      </c>
      <c r="C7" t="s">
        <v>61</v>
      </c>
      <c r="D7" t="s">
        <v>71</v>
      </c>
      <c r="E7">
        <v>2023</v>
      </c>
      <c r="F7" t="s">
        <v>77</v>
      </c>
      <c r="G7" t="s">
        <v>89</v>
      </c>
      <c r="H7" t="s">
        <v>3</v>
      </c>
      <c r="I7" t="s">
        <v>102</v>
      </c>
      <c r="J7" t="s">
        <v>112</v>
      </c>
      <c r="K7">
        <v>2</v>
      </c>
      <c r="L7" s="1">
        <v>45958</v>
      </c>
      <c r="M7" s="1">
        <v>46019</v>
      </c>
    </row>
    <row r="8" spans="1:13" x14ac:dyDescent="0.25">
      <c r="A8" t="s">
        <v>48</v>
      </c>
      <c r="B8" t="s">
        <v>54</v>
      </c>
      <c r="C8" t="s">
        <v>62</v>
      </c>
      <c r="D8" t="s">
        <v>69</v>
      </c>
      <c r="E8">
        <v>2022</v>
      </c>
      <c r="F8" t="s">
        <v>78</v>
      </c>
      <c r="G8" t="s">
        <v>90</v>
      </c>
      <c r="H8" t="s">
        <v>96</v>
      </c>
      <c r="I8" t="s">
        <v>97</v>
      </c>
      <c r="J8" t="s">
        <v>109</v>
      </c>
      <c r="K8">
        <v>20</v>
      </c>
      <c r="L8" s="1">
        <v>45940</v>
      </c>
      <c r="M8" s="1">
        <v>45971</v>
      </c>
    </row>
    <row r="9" spans="1:13" x14ac:dyDescent="0.25">
      <c r="A9" t="s">
        <v>49</v>
      </c>
      <c r="B9" t="s">
        <v>54</v>
      </c>
      <c r="C9" t="s">
        <v>63</v>
      </c>
      <c r="D9" t="s">
        <v>68</v>
      </c>
      <c r="E9">
        <v>2023</v>
      </c>
      <c r="F9" t="s">
        <v>79</v>
      </c>
      <c r="G9" t="s">
        <v>91</v>
      </c>
      <c r="H9" t="s">
        <v>96</v>
      </c>
      <c r="I9" t="s">
        <v>104</v>
      </c>
      <c r="J9" t="s">
        <v>109</v>
      </c>
      <c r="K9">
        <v>18</v>
      </c>
      <c r="L9" s="1">
        <v>45950</v>
      </c>
      <c r="M9" s="1">
        <v>45981</v>
      </c>
    </row>
    <row r="10" spans="1:13" x14ac:dyDescent="0.25">
      <c r="A10" t="s">
        <v>50</v>
      </c>
      <c r="B10" t="s">
        <v>54</v>
      </c>
      <c r="C10" t="s">
        <v>64</v>
      </c>
      <c r="D10" t="s">
        <v>70</v>
      </c>
      <c r="E10">
        <v>2021</v>
      </c>
      <c r="F10" t="s">
        <v>80</v>
      </c>
      <c r="G10" t="s">
        <v>92</v>
      </c>
      <c r="H10" t="s">
        <v>3</v>
      </c>
      <c r="I10" t="s">
        <v>497</v>
      </c>
      <c r="J10" t="s">
        <v>113</v>
      </c>
      <c r="K10">
        <v>16</v>
      </c>
      <c r="L10" s="1">
        <v>45915</v>
      </c>
      <c r="M10" s="1">
        <v>45945</v>
      </c>
    </row>
    <row r="11" spans="1:13" x14ac:dyDescent="0.25">
      <c r="A11" t="s">
        <v>51</v>
      </c>
      <c r="B11" t="s">
        <v>54</v>
      </c>
      <c r="C11" t="s">
        <v>65</v>
      </c>
      <c r="D11" t="s">
        <v>68</v>
      </c>
      <c r="E11">
        <v>2022</v>
      </c>
      <c r="F11" t="s">
        <v>81</v>
      </c>
      <c r="G11" t="s">
        <v>93</v>
      </c>
      <c r="H11" t="s">
        <v>96</v>
      </c>
      <c r="I11" t="s">
        <v>106</v>
      </c>
      <c r="J11" t="s">
        <v>109</v>
      </c>
      <c r="K11">
        <v>18</v>
      </c>
      <c r="L11" s="1">
        <v>45960</v>
      </c>
      <c r="M11" s="1">
        <v>45991</v>
      </c>
    </row>
    <row r="12" spans="1:13" x14ac:dyDescent="0.25">
      <c r="A12" t="s">
        <v>52</v>
      </c>
      <c r="B12" t="s">
        <v>55</v>
      </c>
      <c r="C12" t="s">
        <v>66</v>
      </c>
      <c r="D12" t="s">
        <v>71</v>
      </c>
      <c r="E12">
        <v>2020</v>
      </c>
      <c r="F12" t="s">
        <v>82</v>
      </c>
      <c r="G12" t="s">
        <v>94</v>
      </c>
      <c r="H12" t="s">
        <v>96</v>
      </c>
      <c r="I12" t="s">
        <v>107</v>
      </c>
      <c r="J12" t="s">
        <v>109</v>
      </c>
      <c r="K12">
        <v>2</v>
      </c>
      <c r="L12" s="1">
        <v>45935</v>
      </c>
      <c r="M12" s="1">
        <v>45996</v>
      </c>
    </row>
    <row r="13" spans="1:13" x14ac:dyDescent="0.25">
      <c r="A13" t="s">
        <v>53</v>
      </c>
      <c r="B13" t="s">
        <v>54</v>
      </c>
      <c r="C13" t="s">
        <v>67</v>
      </c>
      <c r="D13" t="s">
        <v>69</v>
      </c>
      <c r="E13">
        <v>2023</v>
      </c>
      <c r="F13" t="s">
        <v>83</v>
      </c>
      <c r="G13" t="s">
        <v>95</v>
      </c>
      <c r="H13" t="s">
        <v>96</v>
      </c>
      <c r="I13" t="s">
        <v>108</v>
      </c>
      <c r="J13" t="s">
        <v>109</v>
      </c>
      <c r="K13">
        <v>20</v>
      </c>
      <c r="L13" s="1">
        <v>45952</v>
      </c>
      <c r="M13" s="1">
        <v>45983</v>
      </c>
    </row>
    <row r="14" spans="1:13" x14ac:dyDescent="0.25">
      <c r="A14" t="s">
        <v>489</v>
      </c>
      <c r="B14" t="s">
        <v>54</v>
      </c>
      <c r="C14" t="s">
        <v>490</v>
      </c>
      <c r="D14" t="s">
        <v>69</v>
      </c>
      <c r="E14">
        <v>2022</v>
      </c>
      <c r="F14" t="s">
        <v>491</v>
      </c>
      <c r="G14" t="s">
        <v>492</v>
      </c>
      <c r="H14" t="s">
        <v>4</v>
      </c>
      <c r="I14" t="s">
        <v>143</v>
      </c>
      <c r="J14" t="s">
        <v>493</v>
      </c>
      <c r="K14">
        <v>20</v>
      </c>
      <c r="L14" s="1">
        <v>45951</v>
      </c>
      <c r="M14" s="1">
        <v>45982</v>
      </c>
    </row>
    <row r="15" spans="1:13" x14ac:dyDescent="0.25">
      <c r="A15" t="s">
        <v>50</v>
      </c>
      <c r="B15" t="s">
        <v>54</v>
      </c>
      <c r="C15" t="s">
        <v>64</v>
      </c>
      <c r="D15" t="s">
        <v>70</v>
      </c>
      <c r="E15">
        <v>2021</v>
      </c>
      <c r="F15" t="s">
        <v>80</v>
      </c>
      <c r="G15" t="s">
        <v>92</v>
      </c>
      <c r="H15" t="s">
        <v>3</v>
      </c>
      <c r="I15" t="s">
        <v>497</v>
      </c>
      <c r="J15" t="s">
        <v>113</v>
      </c>
      <c r="K15">
        <v>16</v>
      </c>
      <c r="L15" s="1">
        <v>45915</v>
      </c>
      <c r="M15" s="1">
        <v>45945</v>
      </c>
    </row>
    <row r="16" spans="1:13" x14ac:dyDescent="0.25">
      <c r="A16" t="s">
        <v>51</v>
      </c>
      <c r="B16" t="s">
        <v>54</v>
      </c>
      <c r="C16" t="s">
        <v>65</v>
      </c>
      <c r="D16" t="s">
        <v>68</v>
      </c>
      <c r="E16">
        <v>2022</v>
      </c>
      <c r="F16" t="s">
        <v>81</v>
      </c>
      <c r="G16" t="s">
        <v>93</v>
      </c>
      <c r="H16" t="s">
        <v>96</v>
      </c>
      <c r="I16" t="s">
        <v>497</v>
      </c>
      <c r="J16" t="s">
        <v>109</v>
      </c>
      <c r="K16">
        <v>18</v>
      </c>
      <c r="L16" s="1">
        <v>45960</v>
      </c>
      <c r="M16" s="1">
        <v>45991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7"/>
  <sheetViews>
    <sheetView zoomScale="96" zoomScaleNormal="96" workbookViewId="0">
      <selection activeCell="G29" sqref="G29"/>
    </sheetView>
  </sheetViews>
  <sheetFormatPr defaultRowHeight="15" x14ac:dyDescent="0.25"/>
  <cols>
    <col min="1" max="1" width="11.7109375" customWidth="1"/>
    <col min="2" max="2" width="15.7109375" customWidth="1"/>
    <col min="3" max="3" width="16.7109375" customWidth="1"/>
    <col min="4" max="4" width="21.7109375" customWidth="1"/>
    <col min="5" max="5" width="17.7109375" customWidth="1"/>
    <col min="6" max="6" width="16.7109375" customWidth="1"/>
    <col min="7" max="8" width="15.7109375" customWidth="1"/>
    <col min="9" max="9" width="14.7109375" customWidth="1"/>
    <col min="10" max="12" width="20.7109375" customWidth="1"/>
    <col min="13" max="13" width="16.7109375" customWidth="1"/>
    <col min="14" max="14" width="17.7109375" customWidth="1"/>
  </cols>
  <sheetData>
    <row r="1" spans="1:14" x14ac:dyDescent="0.25">
      <c r="A1" t="s">
        <v>197</v>
      </c>
      <c r="B1" t="s">
        <v>198</v>
      </c>
      <c r="C1" t="s">
        <v>199</v>
      </c>
      <c r="D1" t="s">
        <v>200</v>
      </c>
      <c r="E1" t="s">
        <v>201</v>
      </c>
      <c r="F1" t="s">
        <v>202</v>
      </c>
      <c r="G1" t="s">
        <v>203</v>
      </c>
      <c r="H1" t="s">
        <v>204</v>
      </c>
      <c r="I1" t="s">
        <v>205</v>
      </c>
      <c r="J1" t="s">
        <v>206</v>
      </c>
      <c r="K1" t="s">
        <v>496</v>
      </c>
      <c r="L1" t="s">
        <v>137</v>
      </c>
      <c r="M1" t="s">
        <v>207</v>
      </c>
      <c r="N1" t="s">
        <v>208</v>
      </c>
    </row>
    <row r="2" spans="1:14" x14ac:dyDescent="0.25">
      <c r="A2" t="s">
        <v>97</v>
      </c>
      <c r="B2" t="s">
        <v>146</v>
      </c>
      <c r="C2">
        <v>9876543210</v>
      </c>
      <c r="D2" t="s">
        <v>161</v>
      </c>
      <c r="E2" t="s">
        <v>176</v>
      </c>
      <c r="F2" s="1">
        <v>46157</v>
      </c>
      <c r="G2">
        <v>123456789012</v>
      </c>
      <c r="H2" s="1">
        <v>32952</v>
      </c>
      <c r="I2" s="1">
        <v>43845</v>
      </c>
      <c r="J2">
        <v>5</v>
      </c>
      <c r="K2" t="str">
        <f>_xlfn.IFNA(INDEX('Vehicle Master'!A2:M10000,MATCH('Driver Master'!A2,'Vehicle Master'!I2:I10000,0),1),"Available")</f>
        <v>V007</v>
      </c>
      <c r="L2" t="s">
        <v>192</v>
      </c>
      <c r="M2" t="s">
        <v>193</v>
      </c>
      <c r="N2">
        <v>9876543211</v>
      </c>
    </row>
    <row r="3" spans="1:14" x14ac:dyDescent="0.25">
      <c r="A3" t="s">
        <v>98</v>
      </c>
      <c r="B3" t="s">
        <v>147</v>
      </c>
      <c r="C3">
        <v>9876543211</v>
      </c>
      <c r="D3" t="s">
        <v>162</v>
      </c>
      <c r="E3" t="s">
        <v>177</v>
      </c>
      <c r="F3" s="1">
        <v>46244</v>
      </c>
      <c r="G3">
        <v>234567890123</v>
      </c>
      <c r="H3" s="1">
        <v>33795</v>
      </c>
      <c r="I3" s="1">
        <v>43636</v>
      </c>
      <c r="J3">
        <v>6</v>
      </c>
      <c r="K3" t="str">
        <f>_xlfn.IFNA(INDEX('Vehicle Master'!A3:M10001,MATCH('Driver Master'!A3,'Vehicle Master'!I3:I10001,0),1),"Available")</f>
        <v>V002</v>
      </c>
      <c r="L3" t="s">
        <v>192</v>
      </c>
      <c r="M3" t="s">
        <v>193</v>
      </c>
      <c r="N3">
        <v>9876543212</v>
      </c>
    </row>
    <row r="4" spans="1:14" x14ac:dyDescent="0.25">
      <c r="A4" t="s">
        <v>99</v>
      </c>
      <c r="B4" t="s">
        <v>148</v>
      </c>
      <c r="C4">
        <v>9876543212</v>
      </c>
      <c r="D4" t="s">
        <v>163</v>
      </c>
      <c r="E4" t="s">
        <v>178</v>
      </c>
      <c r="F4" s="1">
        <v>46446</v>
      </c>
      <c r="G4">
        <v>345678901234</v>
      </c>
      <c r="H4" s="1">
        <v>32462</v>
      </c>
      <c r="I4" s="1">
        <v>43169</v>
      </c>
      <c r="J4">
        <v>7</v>
      </c>
      <c r="K4" t="str">
        <f>_xlfn.IFNA(INDEX('Vehicle Master'!A4:M10002,MATCH('Driver Master'!A4,'Vehicle Master'!I4:I10002,0),1),"Available")</f>
        <v>V003</v>
      </c>
      <c r="L4" t="s">
        <v>192</v>
      </c>
      <c r="M4" t="s">
        <v>194</v>
      </c>
      <c r="N4">
        <v>9876543213</v>
      </c>
    </row>
    <row r="5" spans="1:14" x14ac:dyDescent="0.25">
      <c r="A5" t="s">
        <v>100</v>
      </c>
      <c r="B5" t="s">
        <v>149</v>
      </c>
      <c r="C5">
        <v>9876543213</v>
      </c>
      <c r="D5" t="s">
        <v>164</v>
      </c>
      <c r="E5" t="s">
        <v>179</v>
      </c>
      <c r="F5" s="1">
        <v>46011</v>
      </c>
      <c r="G5">
        <v>456789012345</v>
      </c>
      <c r="H5" s="1">
        <v>34855</v>
      </c>
      <c r="I5" s="1">
        <v>44464</v>
      </c>
      <c r="J5">
        <v>4</v>
      </c>
      <c r="K5" t="str">
        <f>_xlfn.IFNA(INDEX('Vehicle Master'!A5:M10003,MATCH('Driver Master'!A5,'Vehicle Master'!I5:I10003,0),1),"Available")</f>
        <v>V004</v>
      </c>
      <c r="L5" t="s">
        <v>26</v>
      </c>
      <c r="M5" t="s">
        <v>193</v>
      </c>
      <c r="N5">
        <v>9876543214</v>
      </c>
    </row>
    <row r="6" spans="1:14" x14ac:dyDescent="0.25">
      <c r="A6" t="s">
        <v>101</v>
      </c>
      <c r="B6" t="s">
        <v>150</v>
      </c>
      <c r="C6">
        <v>9876543214</v>
      </c>
      <c r="D6" t="s">
        <v>165</v>
      </c>
      <c r="E6" t="s">
        <v>180</v>
      </c>
      <c r="F6" s="1">
        <v>46310</v>
      </c>
      <c r="G6">
        <v>567890123456</v>
      </c>
      <c r="H6" s="1">
        <v>33493</v>
      </c>
      <c r="I6" s="1">
        <v>43952</v>
      </c>
      <c r="J6">
        <v>5</v>
      </c>
      <c r="K6" t="str">
        <f>_xlfn.IFNA(INDEX('Vehicle Master'!A6:M10004,MATCH('Driver Master'!A6,'Vehicle Master'!I6:I10004,0),1),"Available")</f>
        <v>V005</v>
      </c>
      <c r="L6" t="s">
        <v>192</v>
      </c>
      <c r="M6" t="s">
        <v>193</v>
      </c>
      <c r="N6">
        <v>9876543215</v>
      </c>
    </row>
    <row r="7" spans="1:14" x14ac:dyDescent="0.25">
      <c r="A7" t="s">
        <v>102</v>
      </c>
      <c r="B7" t="s">
        <v>151</v>
      </c>
      <c r="C7">
        <v>9876543215</v>
      </c>
      <c r="D7" t="s">
        <v>166</v>
      </c>
      <c r="E7" t="s">
        <v>181</v>
      </c>
      <c r="F7" s="1">
        <v>45899</v>
      </c>
      <c r="G7">
        <v>678901234567</v>
      </c>
      <c r="H7" s="1">
        <v>34028</v>
      </c>
      <c r="I7" s="1">
        <v>43779</v>
      </c>
      <c r="J7">
        <v>6</v>
      </c>
      <c r="K7" t="str">
        <f>_xlfn.IFNA(INDEX('Vehicle Master'!A7:M10005,MATCH('Driver Master'!A7,'Vehicle Master'!I7:I10005,0),1),"Available")</f>
        <v>V006</v>
      </c>
      <c r="L7" t="s">
        <v>192</v>
      </c>
      <c r="M7" t="s">
        <v>195</v>
      </c>
      <c r="N7">
        <v>9876543216</v>
      </c>
    </row>
    <row r="8" spans="1:14" x14ac:dyDescent="0.25">
      <c r="A8" t="s">
        <v>103</v>
      </c>
      <c r="B8" t="s">
        <v>152</v>
      </c>
      <c r="C8">
        <v>9876543216</v>
      </c>
      <c r="D8" t="s">
        <v>167</v>
      </c>
      <c r="E8" t="s">
        <v>182</v>
      </c>
      <c r="F8" s="1">
        <v>46193</v>
      </c>
      <c r="G8">
        <v>789012345678</v>
      </c>
      <c r="H8" s="1">
        <v>34472</v>
      </c>
      <c r="I8" s="1">
        <v>44242</v>
      </c>
      <c r="J8">
        <v>4</v>
      </c>
      <c r="K8" t="str">
        <f>_xlfn.IFNA(INDEX('Vehicle Master'!A8:M10006,MATCH('Driver Master'!A8,'Vehicle Master'!I8:I10006,0),1),"Available")</f>
        <v>Available</v>
      </c>
      <c r="L8" t="s">
        <v>192</v>
      </c>
      <c r="M8" t="s">
        <v>193</v>
      </c>
      <c r="N8">
        <v>9876543217</v>
      </c>
    </row>
    <row r="9" spans="1:14" x14ac:dyDescent="0.25">
      <c r="A9" t="s">
        <v>104</v>
      </c>
      <c r="B9" t="s">
        <v>153</v>
      </c>
      <c r="C9">
        <v>9876543217</v>
      </c>
      <c r="D9" t="s">
        <v>168</v>
      </c>
      <c r="E9" t="s">
        <v>183</v>
      </c>
      <c r="F9" s="1">
        <v>46412</v>
      </c>
      <c r="G9">
        <v>890123456789</v>
      </c>
      <c r="H9" s="1">
        <v>32850</v>
      </c>
      <c r="I9" s="1">
        <v>42967</v>
      </c>
      <c r="J9">
        <v>8</v>
      </c>
      <c r="K9" t="str">
        <f>_xlfn.IFNA(INDEX('Vehicle Master'!A9:M10007,MATCH('Driver Master'!A9,'Vehicle Master'!I9:I10007,0),1),"Available")</f>
        <v>V008</v>
      </c>
      <c r="L9" t="s">
        <v>192</v>
      </c>
      <c r="M9" t="s">
        <v>194</v>
      </c>
      <c r="N9">
        <v>9876543218</v>
      </c>
    </row>
    <row r="10" spans="1:14" x14ac:dyDescent="0.25">
      <c r="A10" t="s">
        <v>105</v>
      </c>
      <c r="B10" t="s">
        <v>154</v>
      </c>
      <c r="C10">
        <v>9876543218</v>
      </c>
      <c r="D10" t="s">
        <v>169</v>
      </c>
      <c r="E10" t="s">
        <v>184</v>
      </c>
      <c r="F10" s="1">
        <v>46091</v>
      </c>
      <c r="G10">
        <v>901234567890</v>
      </c>
      <c r="H10" s="1">
        <v>35177</v>
      </c>
      <c r="I10" s="1">
        <v>44571</v>
      </c>
      <c r="J10">
        <v>3</v>
      </c>
      <c r="K10" t="str">
        <f>_xlfn.IFNA(INDEX('Vehicle Master'!A10:M10008,MATCH('Driver Master'!A10,'Vehicle Master'!I10:I10008,0),1),"Available")</f>
        <v>Available</v>
      </c>
      <c r="L10" t="s">
        <v>192</v>
      </c>
      <c r="M10" t="s">
        <v>193</v>
      </c>
      <c r="N10">
        <v>9876543219</v>
      </c>
    </row>
    <row r="11" spans="1:14" x14ac:dyDescent="0.25">
      <c r="A11" t="s">
        <v>106</v>
      </c>
      <c r="B11" t="s">
        <v>155</v>
      </c>
      <c r="C11">
        <v>9876543219</v>
      </c>
      <c r="D11" t="s">
        <v>170</v>
      </c>
      <c r="E11" t="s">
        <v>185</v>
      </c>
      <c r="F11" s="1">
        <v>45966</v>
      </c>
      <c r="G11">
        <v>12345678901</v>
      </c>
      <c r="H11" s="1">
        <v>35658</v>
      </c>
      <c r="I11" s="1">
        <v>44743</v>
      </c>
      <c r="J11">
        <v>3</v>
      </c>
      <c r="K11" t="str">
        <f>_xlfn.IFNA(INDEX('Vehicle Master'!A11:M10009,MATCH('Driver Master'!A11,'Vehicle Master'!I11:I10009,0),1),"Available")</f>
        <v>V010</v>
      </c>
      <c r="L11" t="s">
        <v>192</v>
      </c>
      <c r="M11" t="s">
        <v>193</v>
      </c>
      <c r="N11">
        <v>9876543220</v>
      </c>
    </row>
    <row r="12" spans="1:14" x14ac:dyDescent="0.25">
      <c r="A12" t="s">
        <v>107</v>
      </c>
      <c r="B12" t="s">
        <v>156</v>
      </c>
      <c r="C12">
        <v>9876543220</v>
      </c>
      <c r="D12" t="s">
        <v>171</v>
      </c>
      <c r="E12" t="s">
        <v>186</v>
      </c>
      <c r="F12" s="1">
        <v>46279</v>
      </c>
      <c r="G12">
        <v>123456789013</v>
      </c>
      <c r="H12" s="1">
        <v>33572</v>
      </c>
      <c r="I12" s="1">
        <v>43910</v>
      </c>
      <c r="J12">
        <v>5</v>
      </c>
      <c r="K12" t="str">
        <f>_xlfn.IFNA(INDEX('Vehicle Master'!A12:M10010,MATCH('Driver Master'!A12,'Vehicle Master'!I12:I10010,0),1),"Available")</f>
        <v>V011</v>
      </c>
      <c r="L12" t="s">
        <v>192</v>
      </c>
      <c r="M12" t="s">
        <v>195</v>
      </c>
      <c r="N12">
        <v>9876543221</v>
      </c>
    </row>
    <row r="13" spans="1:14" x14ac:dyDescent="0.25">
      <c r="A13" t="s">
        <v>108</v>
      </c>
      <c r="B13" t="s">
        <v>157</v>
      </c>
      <c r="C13">
        <v>9876543221</v>
      </c>
      <c r="D13" t="s">
        <v>172</v>
      </c>
      <c r="E13" t="s">
        <v>187</v>
      </c>
      <c r="F13" s="1">
        <v>46496</v>
      </c>
      <c r="G13">
        <v>234567890124</v>
      </c>
      <c r="H13" s="1">
        <v>32288</v>
      </c>
      <c r="I13" s="1">
        <v>43497</v>
      </c>
      <c r="J13">
        <v>6</v>
      </c>
      <c r="K13" t="str">
        <f>_xlfn.IFNA(INDEX('Vehicle Master'!A13:M10011,MATCH('Driver Master'!A13,'Vehicle Master'!I13:I10011,0),1),"Available")</f>
        <v>V012</v>
      </c>
      <c r="L13" t="s">
        <v>192</v>
      </c>
      <c r="M13" t="s">
        <v>193</v>
      </c>
      <c r="N13">
        <v>9876543222</v>
      </c>
    </row>
    <row r="14" spans="1:14" x14ac:dyDescent="0.25">
      <c r="A14" t="s">
        <v>143</v>
      </c>
      <c r="B14" t="s">
        <v>158</v>
      </c>
      <c r="C14">
        <v>9876543222</v>
      </c>
      <c r="D14" t="s">
        <v>173</v>
      </c>
      <c r="E14" t="s">
        <v>188</v>
      </c>
      <c r="F14" s="1">
        <v>46030</v>
      </c>
      <c r="G14">
        <v>345678901235</v>
      </c>
      <c r="H14" s="1">
        <v>34215</v>
      </c>
      <c r="I14" s="1">
        <v>44362</v>
      </c>
      <c r="J14">
        <v>4</v>
      </c>
      <c r="K14" t="str">
        <f>_xlfn.IFNA(INDEX('Vehicle Master'!A14:M10012,MATCH('Driver Master'!A14,'Vehicle Master'!I14:I10012,0),1),"Available")</f>
        <v>V013</v>
      </c>
      <c r="L14" t="s">
        <v>192</v>
      </c>
      <c r="M14" t="s">
        <v>193</v>
      </c>
      <c r="N14">
        <v>9876543223</v>
      </c>
    </row>
    <row r="15" spans="1:14" x14ac:dyDescent="0.25">
      <c r="A15" t="s">
        <v>144</v>
      </c>
      <c r="B15" t="s">
        <v>159</v>
      </c>
      <c r="C15">
        <v>9876543223</v>
      </c>
      <c r="D15" t="s">
        <v>174</v>
      </c>
      <c r="E15" t="s">
        <v>189</v>
      </c>
      <c r="F15" s="1">
        <v>45922</v>
      </c>
      <c r="G15">
        <v>456789012346</v>
      </c>
      <c r="H15" s="1">
        <v>32885</v>
      </c>
      <c r="I15" s="1">
        <v>44053</v>
      </c>
      <c r="J15">
        <v>5</v>
      </c>
      <c r="K15" t="str">
        <f>_xlfn.IFNA(INDEX('Vehicle Master'!A15:M10013,MATCH('Driver Master'!A15,'Vehicle Master'!I15:I10013,0),1),"Available")</f>
        <v>Available</v>
      </c>
      <c r="L15" t="s">
        <v>192</v>
      </c>
      <c r="M15" t="s">
        <v>196</v>
      </c>
      <c r="N15">
        <v>9876543224</v>
      </c>
    </row>
    <row r="16" spans="1:14" x14ac:dyDescent="0.25">
      <c r="A16" t="s">
        <v>145</v>
      </c>
      <c r="B16" t="s">
        <v>160</v>
      </c>
      <c r="C16">
        <v>9876543224</v>
      </c>
      <c r="D16" t="s">
        <v>175</v>
      </c>
      <c r="E16" t="s">
        <v>190</v>
      </c>
      <c r="F16" s="1">
        <v>46233</v>
      </c>
      <c r="G16">
        <v>567890123457</v>
      </c>
      <c r="H16" s="1">
        <v>33680</v>
      </c>
      <c r="I16" s="1">
        <v>43560</v>
      </c>
      <c r="J16">
        <v>6</v>
      </c>
      <c r="K16" t="str">
        <f>_xlfn.IFNA(INDEX('Vehicle Master'!A16:M10014,MATCH('Driver Master'!A16,'Vehicle Master'!I16:I10014,0),1),"Available")</f>
        <v>Available</v>
      </c>
      <c r="L16" t="s">
        <v>192</v>
      </c>
      <c r="M16" t="s">
        <v>193</v>
      </c>
      <c r="N16">
        <v>9876543225</v>
      </c>
    </row>
    <row r="17" spans="1:14" x14ac:dyDescent="0.25">
      <c r="A17" t="s">
        <v>487</v>
      </c>
      <c r="B17" t="s">
        <v>488</v>
      </c>
      <c r="C17">
        <v>7289914501</v>
      </c>
      <c r="D17" s="2" t="s">
        <v>494</v>
      </c>
      <c r="E17" t="s">
        <v>495</v>
      </c>
      <c r="F17" s="1">
        <v>46233</v>
      </c>
      <c r="G17">
        <v>567890123457</v>
      </c>
      <c r="H17" s="1">
        <v>38415</v>
      </c>
      <c r="I17" s="1">
        <v>43560</v>
      </c>
      <c r="J17">
        <v>10</v>
      </c>
      <c r="K17" t="str">
        <f>_xlfn.IFNA(INDEX('Vehicle Master'!A17:M10015,MATCH('Driver Master'!A17,'Vehicle Master'!I17:I10015,0),1),"Available")</f>
        <v>Available</v>
      </c>
      <c r="L17" t="s">
        <v>192</v>
      </c>
      <c r="M17" t="s">
        <v>193</v>
      </c>
      <c r="N17">
        <v>9876543226</v>
      </c>
    </row>
  </sheetData>
  <hyperlinks>
    <hyperlink ref="D17" r:id="rId1" xr:uid="{485E0731-AE48-443E-90C1-4A5527A0B83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6_Click">
                <anchor moveWithCells="1" sizeWithCells="1">
                  <from>
                    <xdr:col>14</xdr:col>
                    <xdr:colOff>600075</xdr:colOff>
                    <xdr:row>0</xdr:row>
                    <xdr:rowOff>0</xdr:rowOff>
                  </from>
                  <to>
                    <xdr:col>18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DriverFormHai">
                <anchor moveWithCells="1" sizeWithCells="1">
                  <from>
                    <xdr:col>20</xdr:col>
                    <xdr:colOff>9525</xdr:colOff>
                    <xdr:row>0</xdr:row>
                    <xdr:rowOff>0</xdr:rowOff>
                  </from>
                  <to>
                    <xdr:col>22</xdr:col>
                    <xdr:colOff>447675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11"/>
  <sheetViews>
    <sheetView workbookViewId="0"/>
  </sheetViews>
  <sheetFormatPr defaultRowHeight="15" x14ac:dyDescent="0.25"/>
  <cols>
    <col min="1" max="1" width="9.7109375" customWidth="1"/>
    <col min="2" max="2" width="12.7109375" customWidth="1"/>
    <col min="3" max="3" width="11.7109375" customWidth="1"/>
    <col min="4" max="4" width="15.7109375" customWidth="1"/>
    <col min="5" max="5" width="12.7109375" customWidth="1"/>
    <col min="6" max="6" width="14.7109375" customWidth="1"/>
    <col min="7" max="7" width="17.7109375" customWidth="1"/>
    <col min="8" max="8" width="19.7109375" customWidth="1"/>
    <col min="9" max="9" width="15.7109375" customWidth="1"/>
    <col min="10" max="10" width="24.7109375" customWidth="1"/>
    <col min="11" max="11" width="15.7109375" customWidth="1"/>
    <col min="12" max="13" width="13.7109375" customWidth="1"/>
    <col min="14" max="14" width="15.7109375" customWidth="1"/>
    <col min="15" max="15" width="16.7109375" customWidth="1"/>
    <col min="16" max="16" width="24.7109375" customWidth="1"/>
  </cols>
  <sheetData>
    <row r="1" spans="1:16" x14ac:dyDescent="0.25">
      <c r="A1" t="s">
        <v>274</v>
      </c>
      <c r="B1" t="s">
        <v>275</v>
      </c>
      <c r="C1" t="s">
        <v>197</v>
      </c>
      <c r="D1" t="s">
        <v>276</v>
      </c>
      <c r="E1" t="s">
        <v>130</v>
      </c>
      <c r="F1" t="s">
        <v>131</v>
      </c>
      <c r="G1" t="s">
        <v>277</v>
      </c>
      <c r="H1" t="s">
        <v>278</v>
      </c>
      <c r="I1" t="s">
        <v>279</v>
      </c>
      <c r="J1" t="s">
        <v>280</v>
      </c>
      <c r="K1" t="s">
        <v>281</v>
      </c>
      <c r="L1" t="s">
        <v>282</v>
      </c>
      <c r="M1" t="s">
        <v>137</v>
      </c>
      <c r="N1" t="s">
        <v>283</v>
      </c>
      <c r="O1" t="s">
        <v>284</v>
      </c>
      <c r="P1" t="s">
        <v>285</v>
      </c>
    </row>
    <row r="2" spans="1:16" x14ac:dyDescent="0.25">
      <c r="A2" t="s">
        <v>209</v>
      </c>
      <c r="B2" t="s">
        <v>219</v>
      </c>
      <c r="C2" t="s">
        <v>97</v>
      </c>
      <c r="D2" t="s">
        <v>146</v>
      </c>
      <c r="E2" t="s">
        <v>42</v>
      </c>
      <c r="F2" t="s">
        <v>54</v>
      </c>
      <c r="G2" t="s">
        <v>221</v>
      </c>
      <c r="H2" t="s">
        <v>228</v>
      </c>
      <c r="I2">
        <v>35</v>
      </c>
      <c r="J2" t="s">
        <v>238</v>
      </c>
      <c r="K2">
        <v>15</v>
      </c>
      <c r="L2">
        <v>3500</v>
      </c>
      <c r="M2" t="s">
        <v>248</v>
      </c>
      <c r="N2" t="s">
        <v>251</v>
      </c>
      <c r="P2" t="s">
        <v>264</v>
      </c>
    </row>
    <row r="3" spans="1:16" x14ac:dyDescent="0.25">
      <c r="A3" t="s">
        <v>210</v>
      </c>
      <c r="B3" t="s">
        <v>219</v>
      </c>
      <c r="C3" t="s">
        <v>98</v>
      </c>
      <c r="D3" t="s">
        <v>147</v>
      </c>
      <c r="E3" t="s">
        <v>43</v>
      </c>
      <c r="F3" t="s">
        <v>54</v>
      </c>
      <c r="G3" t="s">
        <v>222</v>
      </c>
      <c r="H3" t="s">
        <v>229</v>
      </c>
      <c r="I3">
        <v>250</v>
      </c>
      <c r="J3" t="s">
        <v>239</v>
      </c>
      <c r="K3">
        <v>18</v>
      </c>
      <c r="L3">
        <v>12000</v>
      </c>
      <c r="M3" t="s">
        <v>248</v>
      </c>
      <c r="N3" t="s">
        <v>252</v>
      </c>
      <c r="P3" t="s">
        <v>265</v>
      </c>
    </row>
    <row r="4" spans="1:16" x14ac:dyDescent="0.25">
      <c r="A4" t="s">
        <v>211</v>
      </c>
      <c r="B4" t="s">
        <v>219</v>
      </c>
      <c r="C4" t="s">
        <v>99</v>
      </c>
      <c r="D4" t="s">
        <v>148</v>
      </c>
      <c r="E4" t="s">
        <v>44</v>
      </c>
      <c r="F4" t="s">
        <v>54</v>
      </c>
      <c r="G4" t="s">
        <v>221</v>
      </c>
      <c r="H4" t="s">
        <v>230</v>
      </c>
      <c r="I4">
        <v>240</v>
      </c>
      <c r="J4" t="s">
        <v>240</v>
      </c>
      <c r="K4">
        <v>16</v>
      </c>
      <c r="L4">
        <v>11500</v>
      </c>
      <c r="M4" t="s">
        <v>249</v>
      </c>
      <c r="N4" t="s">
        <v>253</v>
      </c>
      <c r="O4" t="s">
        <v>259</v>
      </c>
      <c r="P4" t="s">
        <v>266</v>
      </c>
    </row>
    <row r="5" spans="1:16" x14ac:dyDescent="0.25">
      <c r="A5" t="s">
        <v>212</v>
      </c>
      <c r="B5" t="s">
        <v>127</v>
      </c>
      <c r="C5" t="s">
        <v>101</v>
      </c>
      <c r="D5" t="s">
        <v>150</v>
      </c>
      <c r="E5" t="s">
        <v>46</v>
      </c>
      <c r="F5" t="s">
        <v>54</v>
      </c>
      <c r="G5" t="s">
        <v>223</v>
      </c>
      <c r="H5" t="s">
        <v>231</v>
      </c>
      <c r="I5">
        <v>25</v>
      </c>
      <c r="J5" t="s">
        <v>241</v>
      </c>
      <c r="K5">
        <v>12</v>
      </c>
      <c r="L5">
        <v>2000</v>
      </c>
      <c r="M5" t="s">
        <v>249</v>
      </c>
      <c r="N5" t="s">
        <v>254</v>
      </c>
      <c r="O5" t="s">
        <v>260</v>
      </c>
      <c r="P5" t="s">
        <v>267</v>
      </c>
    </row>
    <row r="6" spans="1:16" x14ac:dyDescent="0.25">
      <c r="A6" t="s">
        <v>213</v>
      </c>
      <c r="B6" t="s">
        <v>127</v>
      </c>
      <c r="C6" t="s">
        <v>102</v>
      </c>
      <c r="D6" t="s">
        <v>151</v>
      </c>
      <c r="E6" t="s">
        <v>47</v>
      </c>
      <c r="F6" t="s">
        <v>55</v>
      </c>
      <c r="G6" t="s">
        <v>224</v>
      </c>
      <c r="H6" t="s">
        <v>232</v>
      </c>
      <c r="I6">
        <v>15</v>
      </c>
      <c r="J6" t="s">
        <v>242</v>
      </c>
      <c r="K6">
        <v>1.5</v>
      </c>
      <c r="L6">
        <v>800</v>
      </c>
      <c r="M6" t="s">
        <v>249</v>
      </c>
      <c r="N6" t="s">
        <v>255</v>
      </c>
      <c r="O6" t="s">
        <v>261</v>
      </c>
      <c r="P6" t="s">
        <v>268</v>
      </c>
    </row>
    <row r="7" spans="1:16" x14ac:dyDescent="0.25">
      <c r="A7" t="s">
        <v>214</v>
      </c>
      <c r="B7" t="s">
        <v>219</v>
      </c>
      <c r="C7" t="s">
        <v>103</v>
      </c>
      <c r="D7" t="s">
        <v>152</v>
      </c>
      <c r="E7" t="s">
        <v>48</v>
      </c>
      <c r="F7" t="s">
        <v>54</v>
      </c>
      <c r="G7" t="s">
        <v>225</v>
      </c>
      <c r="H7" t="s">
        <v>233</v>
      </c>
      <c r="I7">
        <v>200</v>
      </c>
      <c r="J7" t="s">
        <v>243</v>
      </c>
      <c r="K7">
        <v>19</v>
      </c>
      <c r="L7">
        <v>10000</v>
      </c>
      <c r="M7" t="s">
        <v>250</v>
      </c>
      <c r="N7" t="s">
        <v>256</v>
      </c>
      <c r="P7" t="s">
        <v>269</v>
      </c>
    </row>
    <row r="8" spans="1:16" x14ac:dyDescent="0.25">
      <c r="A8" t="s">
        <v>215</v>
      </c>
      <c r="B8" t="s">
        <v>219</v>
      </c>
      <c r="C8" t="s">
        <v>104</v>
      </c>
      <c r="D8" t="s">
        <v>153</v>
      </c>
      <c r="E8" t="s">
        <v>49</v>
      </c>
      <c r="F8" t="s">
        <v>54</v>
      </c>
      <c r="G8" t="s">
        <v>221</v>
      </c>
      <c r="H8" t="s">
        <v>234</v>
      </c>
      <c r="I8">
        <v>280</v>
      </c>
      <c r="J8" t="s">
        <v>244</v>
      </c>
      <c r="K8">
        <v>17</v>
      </c>
      <c r="L8">
        <v>13500</v>
      </c>
      <c r="M8" t="s">
        <v>248</v>
      </c>
      <c r="N8" t="s">
        <v>257</v>
      </c>
      <c r="P8" t="s">
        <v>270</v>
      </c>
    </row>
    <row r="9" spans="1:16" x14ac:dyDescent="0.25">
      <c r="A9" t="s">
        <v>216</v>
      </c>
      <c r="B9" t="s">
        <v>220</v>
      </c>
      <c r="C9" t="s">
        <v>105</v>
      </c>
      <c r="D9" t="s">
        <v>154</v>
      </c>
      <c r="E9" t="s">
        <v>50</v>
      </c>
      <c r="F9" t="s">
        <v>54</v>
      </c>
      <c r="G9" t="s">
        <v>226</v>
      </c>
      <c r="H9" t="s">
        <v>235</v>
      </c>
      <c r="I9">
        <v>20</v>
      </c>
      <c r="J9" t="s">
        <v>245</v>
      </c>
      <c r="K9">
        <v>14</v>
      </c>
      <c r="L9">
        <v>1500</v>
      </c>
      <c r="M9" t="s">
        <v>249</v>
      </c>
      <c r="N9" t="s">
        <v>258</v>
      </c>
      <c r="O9" t="s">
        <v>262</v>
      </c>
      <c r="P9" t="s">
        <v>271</v>
      </c>
    </row>
    <row r="10" spans="1:16" x14ac:dyDescent="0.25">
      <c r="A10" t="s">
        <v>217</v>
      </c>
      <c r="B10" t="s">
        <v>219</v>
      </c>
      <c r="C10" t="s">
        <v>106</v>
      </c>
      <c r="D10" t="s">
        <v>155</v>
      </c>
      <c r="E10" t="s">
        <v>51</v>
      </c>
      <c r="F10" t="s">
        <v>54</v>
      </c>
      <c r="G10" t="s">
        <v>223</v>
      </c>
      <c r="H10" t="s">
        <v>236</v>
      </c>
      <c r="I10">
        <v>1400</v>
      </c>
      <c r="J10" t="s">
        <v>246</v>
      </c>
      <c r="K10">
        <v>16</v>
      </c>
      <c r="L10">
        <v>50000</v>
      </c>
      <c r="M10" t="s">
        <v>250</v>
      </c>
      <c r="N10" t="s">
        <v>129</v>
      </c>
      <c r="P10" t="s">
        <v>272</v>
      </c>
    </row>
    <row r="11" spans="1:16" x14ac:dyDescent="0.25">
      <c r="A11" t="s">
        <v>218</v>
      </c>
      <c r="B11" t="s">
        <v>219</v>
      </c>
      <c r="C11" t="s">
        <v>107</v>
      </c>
      <c r="D11" t="s">
        <v>156</v>
      </c>
      <c r="E11" t="s">
        <v>52</v>
      </c>
      <c r="F11" t="s">
        <v>55</v>
      </c>
      <c r="G11" t="s">
        <v>227</v>
      </c>
      <c r="H11" t="s">
        <v>237</v>
      </c>
      <c r="I11">
        <v>8</v>
      </c>
      <c r="J11" t="s">
        <v>247</v>
      </c>
      <c r="K11">
        <v>0.8</v>
      </c>
      <c r="L11">
        <v>400</v>
      </c>
      <c r="M11" t="s">
        <v>249</v>
      </c>
      <c r="N11" t="s">
        <v>254</v>
      </c>
      <c r="O11" t="s">
        <v>263</v>
      </c>
      <c r="P11" t="s">
        <v>273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1"/>
  <sheetViews>
    <sheetView workbookViewId="0"/>
  </sheetViews>
  <sheetFormatPr defaultRowHeight="15" x14ac:dyDescent="0.25"/>
  <cols>
    <col min="1" max="1" width="16.7109375" customWidth="1"/>
    <col min="2" max="2" width="12.7109375" customWidth="1"/>
    <col min="3" max="3" width="14.7109375" customWidth="1"/>
    <col min="4" max="4" width="12.7109375" customWidth="1"/>
    <col min="5" max="5" width="17.7109375" customWidth="1"/>
    <col min="6" max="6" width="44.7109375" customWidth="1"/>
    <col min="7" max="7" width="22.7109375" customWidth="1"/>
    <col min="8" max="8" width="8.7109375" customWidth="1"/>
    <col min="9" max="9" width="13.7109375" customWidth="1"/>
    <col min="10" max="10" width="19.7109375" customWidth="1"/>
    <col min="11" max="11" width="26.7109375" customWidth="1"/>
    <col min="12" max="12" width="18.7109375" customWidth="1"/>
    <col min="13" max="13" width="16.7109375" customWidth="1"/>
  </cols>
  <sheetData>
    <row r="1" spans="1:13" x14ac:dyDescent="0.25">
      <c r="A1" t="s">
        <v>321</v>
      </c>
      <c r="B1" t="s">
        <v>130</v>
      </c>
      <c r="C1" t="s">
        <v>131</v>
      </c>
      <c r="D1" t="s">
        <v>275</v>
      </c>
      <c r="E1" t="s">
        <v>322</v>
      </c>
      <c r="F1" t="s">
        <v>323</v>
      </c>
      <c r="G1" t="s">
        <v>324</v>
      </c>
      <c r="H1" t="s">
        <v>325</v>
      </c>
      <c r="I1" t="s">
        <v>137</v>
      </c>
      <c r="J1" t="s">
        <v>142</v>
      </c>
      <c r="K1" t="s">
        <v>326</v>
      </c>
      <c r="L1" t="s">
        <v>327</v>
      </c>
      <c r="M1" t="s">
        <v>328</v>
      </c>
    </row>
    <row r="2" spans="1:13" x14ac:dyDescent="0.25">
      <c r="A2" t="s">
        <v>286</v>
      </c>
      <c r="B2" t="s">
        <v>42</v>
      </c>
      <c r="C2" t="s">
        <v>54</v>
      </c>
      <c r="D2" t="s">
        <v>114</v>
      </c>
      <c r="E2" t="s">
        <v>297</v>
      </c>
      <c r="F2" t="s">
        <v>300</v>
      </c>
      <c r="G2" t="s">
        <v>310</v>
      </c>
      <c r="H2">
        <v>3500</v>
      </c>
      <c r="I2" t="s">
        <v>249</v>
      </c>
      <c r="J2" t="s">
        <v>122</v>
      </c>
      <c r="K2">
        <v>3</v>
      </c>
      <c r="L2">
        <v>45230</v>
      </c>
      <c r="M2" t="s">
        <v>318</v>
      </c>
    </row>
    <row r="3" spans="1:13" x14ac:dyDescent="0.25">
      <c r="A3" t="s">
        <v>287</v>
      </c>
      <c r="B3" t="s">
        <v>45</v>
      </c>
      <c r="C3" t="s">
        <v>54</v>
      </c>
      <c r="D3" t="s">
        <v>296</v>
      </c>
      <c r="E3" t="s">
        <v>298</v>
      </c>
      <c r="F3" t="s">
        <v>301</v>
      </c>
      <c r="G3" t="s">
        <v>311</v>
      </c>
      <c r="H3">
        <v>8500</v>
      </c>
      <c r="I3" t="s">
        <v>248</v>
      </c>
      <c r="J3" t="s">
        <v>191</v>
      </c>
      <c r="K3">
        <v>8</v>
      </c>
      <c r="L3">
        <v>78450</v>
      </c>
      <c r="M3" t="s">
        <v>319</v>
      </c>
    </row>
    <row r="4" spans="1:13" x14ac:dyDescent="0.25">
      <c r="A4" t="s">
        <v>288</v>
      </c>
      <c r="B4" t="s">
        <v>43</v>
      </c>
      <c r="C4" t="s">
        <v>54</v>
      </c>
      <c r="D4" t="s">
        <v>115</v>
      </c>
      <c r="E4" t="s">
        <v>297</v>
      </c>
      <c r="F4" t="s">
        <v>302</v>
      </c>
      <c r="G4" t="s">
        <v>310</v>
      </c>
      <c r="H4">
        <v>2800</v>
      </c>
      <c r="I4" t="s">
        <v>249</v>
      </c>
      <c r="J4" t="s">
        <v>120</v>
      </c>
      <c r="K4">
        <v>2.5</v>
      </c>
      <c r="L4">
        <v>62100</v>
      </c>
      <c r="M4" t="s">
        <v>318</v>
      </c>
    </row>
    <row r="5" spans="1:13" x14ac:dyDescent="0.25">
      <c r="A5" t="s">
        <v>289</v>
      </c>
      <c r="B5" t="s">
        <v>46</v>
      </c>
      <c r="C5" t="s">
        <v>54</v>
      </c>
      <c r="D5" t="s">
        <v>117</v>
      </c>
      <c r="E5" t="s">
        <v>297</v>
      </c>
      <c r="F5" t="s">
        <v>303</v>
      </c>
      <c r="G5" t="s">
        <v>310</v>
      </c>
      <c r="H5">
        <v>3200</v>
      </c>
      <c r="I5" t="s">
        <v>249</v>
      </c>
      <c r="J5" t="s">
        <v>124</v>
      </c>
      <c r="K5">
        <v>3</v>
      </c>
      <c r="L5">
        <v>51000</v>
      </c>
      <c r="M5" t="s">
        <v>318</v>
      </c>
    </row>
    <row r="6" spans="1:13" x14ac:dyDescent="0.25">
      <c r="A6" t="s">
        <v>290</v>
      </c>
      <c r="B6" t="s">
        <v>44</v>
      </c>
      <c r="C6" t="s">
        <v>54</v>
      </c>
      <c r="D6" t="s">
        <v>116</v>
      </c>
      <c r="E6" t="s">
        <v>297</v>
      </c>
      <c r="F6" t="s">
        <v>304</v>
      </c>
      <c r="G6" t="s">
        <v>310</v>
      </c>
      <c r="H6">
        <v>2500</v>
      </c>
      <c r="I6" t="s">
        <v>249</v>
      </c>
      <c r="J6" t="s">
        <v>123</v>
      </c>
      <c r="K6">
        <v>2</v>
      </c>
      <c r="L6">
        <v>48900</v>
      </c>
      <c r="M6" t="s">
        <v>318</v>
      </c>
    </row>
    <row r="7" spans="1:13" x14ac:dyDescent="0.25">
      <c r="A7" t="s">
        <v>291</v>
      </c>
      <c r="B7" t="s">
        <v>47</v>
      </c>
      <c r="C7" t="s">
        <v>55</v>
      </c>
      <c r="D7" t="s">
        <v>118</v>
      </c>
      <c r="E7" t="s">
        <v>297</v>
      </c>
      <c r="F7" t="s">
        <v>305</v>
      </c>
      <c r="G7" t="s">
        <v>312</v>
      </c>
      <c r="H7">
        <v>1800</v>
      </c>
      <c r="I7" t="s">
        <v>249</v>
      </c>
      <c r="J7" t="s">
        <v>125</v>
      </c>
      <c r="K7">
        <v>1.5</v>
      </c>
      <c r="L7">
        <v>28500</v>
      </c>
      <c r="M7" t="s">
        <v>318</v>
      </c>
    </row>
    <row r="8" spans="1:13" x14ac:dyDescent="0.25">
      <c r="A8" t="s">
        <v>292</v>
      </c>
      <c r="B8" t="s">
        <v>50</v>
      </c>
      <c r="C8" t="s">
        <v>54</v>
      </c>
      <c r="D8" t="s">
        <v>126</v>
      </c>
      <c r="E8" t="s">
        <v>299</v>
      </c>
      <c r="F8" t="s">
        <v>306</v>
      </c>
      <c r="G8" t="s">
        <v>313</v>
      </c>
      <c r="H8">
        <v>4200</v>
      </c>
      <c r="I8" t="s">
        <v>249</v>
      </c>
      <c r="J8" t="s">
        <v>316</v>
      </c>
      <c r="K8">
        <v>2</v>
      </c>
      <c r="L8">
        <v>72300</v>
      </c>
      <c r="M8" t="s">
        <v>320</v>
      </c>
    </row>
    <row r="9" spans="1:13" x14ac:dyDescent="0.25">
      <c r="A9" t="s">
        <v>293</v>
      </c>
      <c r="B9" t="s">
        <v>48</v>
      </c>
      <c r="C9" t="s">
        <v>54</v>
      </c>
      <c r="D9" t="s">
        <v>119</v>
      </c>
      <c r="E9" t="s">
        <v>297</v>
      </c>
      <c r="F9" t="s">
        <v>307</v>
      </c>
      <c r="G9" t="s">
        <v>310</v>
      </c>
      <c r="H9">
        <v>3800</v>
      </c>
      <c r="I9" t="s">
        <v>249</v>
      </c>
      <c r="J9" t="s">
        <v>126</v>
      </c>
      <c r="K9">
        <v>3.5</v>
      </c>
      <c r="L9">
        <v>55600</v>
      </c>
      <c r="M9" t="s">
        <v>318</v>
      </c>
    </row>
    <row r="10" spans="1:13" x14ac:dyDescent="0.25">
      <c r="A10" t="s">
        <v>294</v>
      </c>
      <c r="B10" t="s">
        <v>52</v>
      </c>
      <c r="C10" t="s">
        <v>55</v>
      </c>
      <c r="D10" t="s">
        <v>121</v>
      </c>
      <c r="E10" t="s">
        <v>297</v>
      </c>
      <c r="F10" t="s">
        <v>308</v>
      </c>
      <c r="G10" t="s">
        <v>312</v>
      </c>
      <c r="H10">
        <v>1600</v>
      </c>
      <c r="I10" t="s">
        <v>249</v>
      </c>
      <c r="J10" t="s">
        <v>128</v>
      </c>
      <c r="K10">
        <v>1</v>
      </c>
      <c r="L10">
        <v>32100</v>
      </c>
      <c r="M10" t="s">
        <v>318</v>
      </c>
    </row>
    <row r="11" spans="1:13" x14ac:dyDescent="0.25">
      <c r="A11" t="s">
        <v>295</v>
      </c>
      <c r="B11" t="s">
        <v>51</v>
      </c>
      <c r="C11" t="s">
        <v>54</v>
      </c>
      <c r="D11" t="s">
        <v>122</v>
      </c>
      <c r="E11" t="s">
        <v>299</v>
      </c>
      <c r="F11" t="s">
        <v>309</v>
      </c>
      <c r="G11" t="s">
        <v>314</v>
      </c>
      <c r="H11">
        <v>5500</v>
      </c>
      <c r="I11" t="s">
        <v>315</v>
      </c>
      <c r="J11" t="s">
        <v>317</v>
      </c>
      <c r="K11">
        <v>4</v>
      </c>
      <c r="L11">
        <v>68900</v>
      </c>
      <c r="M11" t="s">
        <v>319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O11"/>
  <sheetViews>
    <sheetView workbookViewId="0"/>
  </sheetViews>
  <sheetFormatPr defaultRowHeight="15" x14ac:dyDescent="0.25"/>
  <cols>
    <col min="1" max="1" width="9.7109375" customWidth="1"/>
    <col min="2" max="3" width="12.7109375" customWidth="1"/>
    <col min="4" max="4" width="11.7109375" customWidth="1"/>
    <col min="5" max="5" width="15.7109375" customWidth="1"/>
    <col min="6" max="6" width="11.7109375" customWidth="1"/>
    <col min="7" max="7" width="19.7109375" customWidth="1"/>
    <col min="8" max="9" width="12.7109375" customWidth="1"/>
    <col min="10" max="11" width="18.7109375" customWidth="1"/>
    <col min="12" max="12" width="23.7109375" customWidth="1"/>
    <col min="13" max="13" width="24.7109375" customWidth="1"/>
    <col min="14" max="14" width="21.7109375" customWidth="1"/>
    <col min="15" max="15" width="22.7109375" customWidth="1"/>
  </cols>
  <sheetData>
    <row r="1" spans="1:15" x14ac:dyDescent="0.25">
      <c r="A1" t="s">
        <v>348</v>
      </c>
      <c r="B1" t="s">
        <v>275</v>
      </c>
      <c r="C1" t="s">
        <v>130</v>
      </c>
      <c r="D1" t="s">
        <v>197</v>
      </c>
      <c r="E1" t="s">
        <v>276</v>
      </c>
      <c r="F1" t="s">
        <v>349</v>
      </c>
      <c r="G1" t="s">
        <v>350</v>
      </c>
      <c r="H1" t="s">
        <v>351</v>
      </c>
      <c r="I1" t="s">
        <v>352</v>
      </c>
      <c r="J1" t="s">
        <v>327</v>
      </c>
      <c r="K1" t="s">
        <v>353</v>
      </c>
      <c r="L1" t="s">
        <v>354</v>
      </c>
      <c r="M1" t="s">
        <v>355</v>
      </c>
      <c r="N1" t="s">
        <v>356</v>
      </c>
      <c r="O1" t="s">
        <v>285</v>
      </c>
    </row>
    <row r="2" spans="1:15" x14ac:dyDescent="0.25">
      <c r="A2" t="s">
        <v>329</v>
      </c>
      <c r="B2" t="s">
        <v>127</v>
      </c>
      <c r="C2" t="s">
        <v>42</v>
      </c>
      <c r="D2" t="s">
        <v>97</v>
      </c>
      <c r="E2" t="s">
        <v>146</v>
      </c>
      <c r="F2" t="s">
        <v>341</v>
      </c>
      <c r="G2">
        <v>100</v>
      </c>
      <c r="H2">
        <v>90</v>
      </c>
      <c r="I2">
        <v>9000</v>
      </c>
      <c r="J2">
        <v>45330</v>
      </c>
      <c r="K2">
        <v>45230</v>
      </c>
      <c r="L2">
        <v>100</v>
      </c>
      <c r="M2">
        <v>1</v>
      </c>
      <c r="N2" t="s">
        <v>343</v>
      </c>
    </row>
    <row r="3" spans="1:15" x14ac:dyDescent="0.25">
      <c r="A3" t="s">
        <v>330</v>
      </c>
      <c r="B3" t="s">
        <v>127</v>
      </c>
      <c r="C3" t="s">
        <v>43</v>
      </c>
      <c r="D3" t="s">
        <v>98</v>
      </c>
      <c r="E3" t="s">
        <v>147</v>
      </c>
      <c r="F3" t="s">
        <v>341</v>
      </c>
      <c r="G3">
        <v>150</v>
      </c>
      <c r="H3">
        <v>90</v>
      </c>
      <c r="I3">
        <v>13500</v>
      </c>
      <c r="J3">
        <v>62250</v>
      </c>
      <c r="K3">
        <v>62100</v>
      </c>
      <c r="L3">
        <v>150</v>
      </c>
      <c r="M3">
        <v>1</v>
      </c>
      <c r="N3" t="s">
        <v>344</v>
      </c>
    </row>
    <row r="4" spans="1:15" x14ac:dyDescent="0.25">
      <c r="A4" t="s">
        <v>331</v>
      </c>
      <c r="B4" t="s">
        <v>220</v>
      </c>
      <c r="C4" t="s">
        <v>44</v>
      </c>
      <c r="D4" t="s">
        <v>99</v>
      </c>
      <c r="E4" t="s">
        <v>148</v>
      </c>
      <c r="F4" t="s">
        <v>341</v>
      </c>
      <c r="G4">
        <v>120</v>
      </c>
      <c r="H4">
        <v>90</v>
      </c>
      <c r="I4">
        <v>10800</v>
      </c>
      <c r="J4">
        <v>49020</v>
      </c>
      <c r="K4">
        <v>48900</v>
      </c>
      <c r="L4">
        <v>120</v>
      </c>
      <c r="M4">
        <v>1</v>
      </c>
      <c r="N4" t="s">
        <v>343</v>
      </c>
    </row>
    <row r="5" spans="1:15" x14ac:dyDescent="0.25">
      <c r="A5" t="s">
        <v>332</v>
      </c>
      <c r="B5" t="s">
        <v>220</v>
      </c>
      <c r="C5" t="s">
        <v>46</v>
      </c>
      <c r="D5" t="s">
        <v>101</v>
      </c>
      <c r="E5" t="s">
        <v>150</v>
      </c>
      <c r="F5" t="s">
        <v>341</v>
      </c>
      <c r="G5">
        <v>130</v>
      </c>
      <c r="H5">
        <v>90</v>
      </c>
      <c r="I5">
        <v>11700</v>
      </c>
      <c r="J5">
        <v>51130</v>
      </c>
      <c r="K5">
        <v>51000</v>
      </c>
      <c r="L5">
        <v>130</v>
      </c>
      <c r="M5">
        <v>1</v>
      </c>
      <c r="N5" t="s">
        <v>345</v>
      </c>
    </row>
    <row r="6" spans="1:15" x14ac:dyDescent="0.25">
      <c r="A6" t="s">
        <v>333</v>
      </c>
      <c r="B6" t="s">
        <v>296</v>
      </c>
      <c r="C6" t="s">
        <v>47</v>
      </c>
      <c r="D6" t="s">
        <v>102</v>
      </c>
      <c r="E6" t="s">
        <v>151</v>
      </c>
      <c r="F6" t="s">
        <v>342</v>
      </c>
      <c r="G6">
        <v>60</v>
      </c>
      <c r="H6">
        <v>98</v>
      </c>
      <c r="I6">
        <v>5880</v>
      </c>
      <c r="J6">
        <v>28560</v>
      </c>
      <c r="K6">
        <v>28500</v>
      </c>
      <c r="L6">
        <v>60</v>
      </c>
      <c r="M6">
        <v>1</v>
      </c>
      <c r="N6" t="s">
        <v>346</v>
      </c>
    </row>
    <row r="7" spans="1:15" x14ac:dyDescent="0.25">
      <c r="A7" t="s">
        <v>334</v>
      </c>
      <c r="B7" t="s">
        <v>339</v>
      </c>
      <c r="C7" t="s">
        <v>48</v>
      </c>
      <c r="D7" t="s">
        <v>103</v>
      </c>
      <c r="E7" t="s">
        <v>152</v>
      </c>
      <c r="F7" t="s">
        <v>341</v>
      </c>
      <c r="G7">
        <v>140</v>
      </c>
      <c r="H7">
        <v>90</v>
      </c>
      <c r="I7">
        <v>12600</v>
      </c>
      <c r="J7">
        <v>55740</v>
      </c>
      <c r="K7">
        <v>55600</v>
      </c>
      <c r="L7">
        <v>140</v>
      </c>
      <c r="M7">
        <v>1</v>
      </c>
      <c r="N7" t="s">
        <v>343</v>
      </c>
    </row>
    <row r="8" spans="1:15" x14ac:dyDescent="0.25">
      <c r="A8" t="s">
        <v>335</v>
      </c>
      <c r="B8" t="s">
        <v>339</v>
      </c>
      <c r="C8" t="s">
        <v>49</v>
      </c>
      <c r="D8" t="s">
        <v>104</v>
      </c>
      <c r="E8" t="s">
        <v>153</v>
      </c>
      <c r="F8" t="s">
        <v>341</v>
      </c>
      <c r="G8">
        <v>145</v>
      </c>
      <c r="H8">
        <v>90</v>
      </c>
      <c r="I8">
        <v>13050</v>
      </c>
      <c r="J8">
        <v>62200</v>
      </c>
      <c r="K8">
        <v>62100</v>
      </c>
      <c r="L8">
        <v>100</v>
      </c>
      <c r="M8">
        <v>0.69</v>
      </c>
      <c r="N8" t="s">
        <v>344</v>
      </c>
      <c r="O8" t="s">
        <v>347</v>
      </c>
    </row>
    <row r="9" spans="1:15" x14ac:dyDescent="0.25">
      <c r="A9" t="s">
        <v>336</v>
      </c>
      <c r="B9" t="s">
        <v>340</v>
      </c>
      <c r="C9" t="s">
        <v>50</v>
      </c>
      <c r="D9" t="s">
        <v>105</v>
      </c>
      <c r="E9" t="s">
        <v>154</v>
      </c>
      <c r="F9" t="s">
        <v>341</v>
      </c>
      <c r="G9">
        <v>110</v>
      </c>
      <c r="H9">
        <v>90</v>
      </c>
      <c r="I9">
        <v>9900</v>
      </c>
      <c r="J9">
        <v>72410</v>
      </c>
      <c r="K9">
        <v>72300</v>
      </c>
      <c r="L9">
        <v>110</v>
      </c>
      <c r="M9">
        <v>1</v>
      </c>
      <c r="N9" t="s">
        <v>345</v>
      </c>
    </row>
    <row r="10" spans="1:15" x14ac:dyDescent="0.25">
      <c r="A10" t="s">
        <v>337</v>
      </c>
      <c r="B10" t="s">
        <v>340</v>
      </c>
      <c r="C10" t="s">
        <v>51</v>
      </c>
      <c r="D10" t="s">
        <v>106</v>
      </c>
      <c r="E10" t="s">
        <v>155</v>
      </c>
      <c r="F10" t="s">
        <v>341</v>
      </c>
      <c r="G10">
        <v>160</v>
      </c>
      <c r="H10">
        <v>90</v>
      </c>
      <c r="I10">
        <v>14400</v>
      </c>
      <c r="J10">
        <v>69060</v>
      </c>
      <c r="K10">
        <v>68900</v>
      </c>
      <c r="L10">
        <v>160</v>
      </c>
      <c r="M10">
        <v>1</v>
      </c>
      <c r="N10" t="s">
        <v>343</v>
      </c>
    </row>
    <row r="11" spans="1:15" x14ac:dyDescent="0.25">
      <c r="A11" t="s">
        <v>338</v>
      </c>
      <c r="B11" t="s">
        <v>122</v>
      </c>
      <c r="C11" t="s">
        <v>52</v>
      </c>
      <c r="D11" t="s">
        <v>107</v>
      </c>
      <c r="E11" t="s">
        <v>156</v>
      </c>
      <c r="F11" t="s">
        <v>342</v>
      </c>
      <c r="G11">
        <v>50</v>
      </c>
      <c r="H11">
        <v>98</v>
      </c>
      <c r="I11">
        <v>4900</v>
      </c>
      <c r="J11">
        <v>32150</v>
      </c>
      <c r="K11">
        <v>32100</v>
      </c>
      <c r="L11">
        <v>50</v>
      </c>
      <c r="M11">
        <v>1</v>
      </c>
      <c r="N11" t="s">
        <v>346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4"/>
  <sheetViews>
    <sheetView workbookViewId="0">
      <selection activeCell="B37" sqref="B37"/>
    </sheetView>
  </sheetViews>
  <sheetFormatPr defaultRowHeight="15" x14ac:dyDescent="0.25"/>
  <cols>
    <col min="1" max="1" width="10.7109375" customWidth="1"/>
    <col min="2" max="2" width="11.7109375" customWidth="1"/>
    <col min="3" max="3" width="15.7109375" customWidth="1"/>
    <col min="4" max="4" width="13.7109375" customWidth="1"/>
    <col min="5" max="5" width="11.7109375" customWidth="1"/>
    <col min="6" max="7" width="21.7109375" customWidth="1"/>
    <col min="8" max="8" width="15.7109375" customWidth="1"/>
    <col min="9" max="9" width="17.7109375" customWidth="1"/>
    <col min="10" max="10" width="12.7109375" customWidth="1"/>
    <col min="11" max="11" width="17.140625" customWidth="1"/>
    <col min="12" max="12" width="23" customWidth="1"/>
  </cols>
  <sheetData>
    <row r="1" spans="1:12" x14ac:dyDescent="0.25">
      <c r="A1" t="s">
        <v>359</v>
      </c>
      <c r="B1" t="s">
        <v>197</v>
      </c>
      <c r="C1" t="s">
        <v>276</v>
      </c>
      <c r="D1" t="s">
        <v>360</v>
      </c>
      <c r="E1" t="s">
        <v>361</v>
      </c>
      <c r="F1" t="s">
        <v>362</v>
      </c>
      <c r="G1" t="s">
        <v>363</v>
      </c>
      <c r="H1" t="s">
        <v>364</v>
      </c>
      <c r="I1" t="s">
        <v>365</v>
      </c>
      <c r="J1" t="s">
        <v>366</v>
      </c>
      <c r="K1" t="s">
        <v>367</v>
      </c>
      <c r="L1" t="s">
        <v>368</v>
      </c>
    </row>
    <row r="2" spans="1:12" x14ac:dyDescent="0.25">
      <c r="A2" t="s">
        <v>357</v>
      </c>
      <c r="B2" t="s">
        <v>97</v>
      </c>
      <c r="C2" t="s">
        <v>146</v>
      </c>
      <c r="D2">
        <v>8</v>
      </c>
      <c r="E2" s="3">
        <v>0.95</v>
      </c>
      <c r="F2">
        <v>4.8</v>
      </c>
      <c r="G2">
        <v>6.8</v>
      </c>
      <c r="H2">
        <v>28000</v>
      </c>
      <c r="I2">
        <v>9000</v>
      </c>
      <c r="J2">
        <v>19000</v>
      </c>
      <c r="K2">
        <v>0</v>
      </c>
      <c r="L2">
        <v>0</v>
      </c>
    </row>
    <row r="3" spans="1:12" x14ac:dyDescent="0.25">
      <c r="A3" t="s">
        <v>357</v>
      </c>
      <c r="B3" t="s">
        <v>98</v>
      </c>
      <c r="C3" t="s">
        <v>147</v>
      </c>
      <c r="D3">
        <v>6</v>
      </c>
      <c r="E3" s="3">
        <v>0.9</v>
      </c>
      <c r="F3">
        <v>4.5</v>
      </c>
      <c r="G3">
        <v>6.2</v>
      </c>
      <c r="H3">
        <v>72000</v>
      </c>
      <c r="I3">
        <v>13500</v>
      </c>
      <c r="J3">
        <v>58500</v>
      </c>
      <c r="K3">
        <v>1</v>
      </c>
      <c r="L3">
        <v>0</v>
      </c>
    </row>
    <row r="4" spans="1:12" x14ac:dyDescent="0.25">
      <c r="A4" t="s">
        <v>357</v>
      </c>
      <c r="B4" t="s">
        <v>99</v>
      </c>
      <c r="C4" t="s">
        <v>148</v>
      </c>
      <c r="D4">
        <v>10</v>
      </c>
      <c r="E4" s="3">
        <v>0.98</v>
      </c>
      <c r="F4">
        <v>5</v>
      </c>
      <c r="G4">
        <v>7.1</v>
      </c>
      <c r="H4">
        <v>45000</v>
      </c>
      <c r="I4">
        <v>10800</v>
      </c>
      <c r="J4">
        <v>34200</v>
      </c>
      <c r="K4">
        <v>0</v>
      </c>
      <c r="L4">
        <v>0</v>
      </c>
    </row>
    <row r="5" spans="1:12" x14ac:dyDescent="0.25">
      <c r="A5" t="s">
        <v>357</v>
      </c>
      <c r="B5" t="s">
        <v>101</v>
      </c>
      <c r="C5" t="s">
        <v>150</v>
      </c>
      <c r="D5">
        <v>9</v>
      </c>
      <c r="E5" s="3">
        <v>0.93</v>
      </c>
      <c r="F5">
        <v>4.5999999999999996</v>
      </c>
      <c r="G5">
        <v>6.5</v>
      </c>
      <c r="H5">
        <v>32000</v>
      </c>
      <c r="I5">
        <v>11700</v>
      </c>
      <c r="J5">
        <v>20300</v>
      </c>
      <c r="K5">
        <v>0</v>
      </c>
      <c r="L5">
        <v>1</v>
      </c>
    </row>
    <row r="6" spans="1:12" x14ac:dyDescent="0.25">
      <c r="A6" t="s">
        <v>357</v>
      </c>
      <c r="B6" t="s">
        <v>102</v>
      </c>
      <c r="C6" t="s">
        <v>151</v>
      </c>
      <c r="D6">
        <v>15</v>
      </c>
      <c r="E6" s="3">
        <v>0.96</v>
      </c>
      <c r="F6">
        <v>4.7</v>
      </c>
      <c r="G6">
        <v>6.9</v>
      </c>
      <c r="H6">
        <v>8000</v>
      </c>
      <c r="I6">
        <v>5880</v>
      </c>
      <c r="J6">
        <v>2120</v>
      </c>
      <c r="K6">
        <v>0</v>
      </c>
      <c r="L6">
        <v>0</v>
      </c>
    </row>
    <row r="7" spans="1:12" x14ac:dyDescent="0.25">
      <c r="A7" t="s">
        <v>357</v>
      </c>
      <c r="B7" t="s">
        <v>103</v>
      </c>
      <c r="C7" t="s">
        <v>152</v>
      </c>
      <c r="D7">
        <v>7</v>
      </c>
      <c r="E7" s="3">
        <v>0.91</v>
      </c>
      <c r="F7">
        <v>4.4000000000000004</v>
      </c>
      <c r="G7">
        <v>6.3</v>
      </c>
      <c r="H7">
        <v>35000</v>
      </c>
      <c r="I7">
        <v>12600</v>
      </c>
      <c r="J7">
        <v>22400</v>
      </c>
      <c r="K7">
        <v>2</v>
      </c>
      <c r="L7">
        <v>0</v>
      </c>
    </row>
    <row r="8" spans="1:12" x14ac:dyDescent="0.25">
      <c r="A8" t="s">
        <v>357</v>
      </c>
      <c r="B8" t="s">
        <v>104</v>
      </c>
      <c r="C8" t="s">
        <v>153</v>
      </c>
      <c r="D8">
        <v>9</v>
      </c>
      <c r="E8" s="3">
        <v>0.97</v>
      </c>
      <c r="F8">
        <v>4.9000000000000004</v>
      </c>
      <c r="G8">
        <v>6.4</v>
      </c>
      <c r="H8">
        <v>58000</v>
      </c>
      <c r="I8">
        <v>13050</v>
      </c>
      <c r="J8">
        <v>44950</v>
      </c>
      <c r="K8">
        <v>0</v>
      </c>
      <c r="L8">
        <v>0</v>
      </c>
    </row>
    <row r="9" spans="1:12" x14ac:dyDescent="0.25">
      <c r="A9" t="s">
        <v>357</v>
      </c>
      <c r="B9" t="s">
        <v>105</v>
      </c>
      <c r="C9" t="s">
        <v>154</v>
      </c>
      <c r="D9">
        <v>8</v>
      </c>
      <c r="E9" s="3">
        <v>0.92</v>
      </c>
      <c r="F9">
        <v>4.3</v>
      </c>
      <c r="G9">
        <v>6.1</v>
      </c>
      <c r="H9">
        <v>12000</v>
      </c>
      <c r="I9">
        <v>9900</v>
      </c>
      <c r="J9">
        <v>2100</v>
      </c>
      <c r="K9">
        <v>1</v>
      </c>
      <c r="L9">
        <v>0</v>
      </c>
    </row>
    <row r="10" spans="1:12" x14ac:dyDescent="0.25">
      <c r="A10" t="s">
        <v>357</v>
      </c>
      <c r="B10" t="s">
        <v>106</v>
      </c>
      <c r="C10" t="s">
        <v>155</v>
      </c>
      <c r="D10">
        <v>5</v>
      </c>
      <c r="E10" s="3">
        <v>0.88</v>
      </c>
      <c r="F10">
        <v>4.2</v>
      </c>
      <c r="G10">
        <v>5.9</v>
      </c>
      <c r="H10">
        <v>75000</v>
      </c>
      <c r="I10">
        <v>14400</v>
      </c>
      <c r="J10">
        <v>60600</v>
      </c>
      <c r="K10">
        <v>2</v>
      </c>
      <c r="L10">
        <v>1</v>
      </c>
    </row>
    <row r="11" spans="1:12" x14ac:dyDescent="0.25">
      <c r="A11" t="s">
        <v>357</v>
      </c>
      <c r="B11" t="s">
        <v>107</v>
      </c>
      <c r="C11" t="s">
        <v>156</v>
      </c>
      <c r="D11">
        <v>12</v>
      </c>
      <c r="E11" s="3">
        <v>0.94</v>
      </c>
      <c r="F11">
        <v>4.5999999999999996</v>
      </c>
      <c r="G11">
        <v>7</v>
      </c>
      <c r="H11">
        <v>5000</v>
      </c>
      <c r="I11">
        <v>4900</v>
      </c>
      <c r="J11">
        <v>100</v>
      </c>
      <c r="K11">
        <v>0</v>
      </c>
      <c r="L11">
        <v>0</v>
      </c>
    </row>
    <row r="12" spans="1:12" x14ac:dyDescent="0.25">
      <c r="A12" t="s">
        <v>358</v>
      </c>
      <c r="B12" t="s">
        <v>97</v>
      </c>
      <c r="C12" t="s">
        <v>146</v>
      </c>
      <c r="D12">
        <v>7</v>
      </c>
      <c r="E12" s="3">
        <v>0.96</v>
      </c>
      <c r="F12">
        <v>4.8</v>
      </c>
      <c r="G12">
        <v>6.9</v>
      </c>
      <c r="H12">
        <v>25000</v>
      </c>
      <c r="I12">
        <v>8500</v>
      </c>
      <c r="J12">
        <v>16500</v>
      </c>
      <c r="K12">
        <v>0</v>
      </c>
      <c r="L12">
        <v>0</v>
      </c>
    </row>
    <row r="13" spans="1:12" x14ac:dyDescent="0.25">
      <c r="A13" t="s">
        <v>358</v>
      </c>
      <c r="B13" t="s">
        <v>98</v>
      </c>
      <c r="C13" t="s">
        <v>147</v>
      </c>
      <c r="D13">
        <v>5</v>
      </c>
      <c r="E13" s="3">
        <v>0.89</v>
      </c>
      <c r="F13">
        <v>4.4000000000000004</v>
      </c>
      <c r="G13">
        <v>6.1</v>
      </c>
      <c r="H13">
        <v>60000</v>
      </c>
      <c r="I13">
        <v>12000</v>
      </c>
      <c r="J13">
        <v>48000</v>
      </c>
      <c r="K13">
        <v>1</v>
      </c>
      <c r="L13">
        <v>0</v>
      </c>
    </row>
    <row r="14" spans="1:12" x14ac:dyDescent="0.25">
      <c r="A14" t="s">
        <v>358</v>
      </c>
      <c r="B14" t="s">
        <v>99</v>
      </c>
      <c r="C14" t="s">
        <v>148</v>
      </c>
      <c r="D14">
        <v>9</v>
      </c>
      <c r="E14" s="3">
        <v>0.97</v>
      </c>
      <c r="F14">
        <v>4.9000000000000004</v>
      </c>
      <c r="G14">
        <v>7.2</v>
      </c>
      <c r="H14">
        <v>42000</v>
      </c>
      <c r="I14">
        <v>9800</v>
      </c>
      <c r="J14">
        <v>32200</v>
      </c>
      <c r="K14">
        <v>0</v>
      </c>
      <c r="L1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7"/>
  <sheetViews>
    <sheetView workbookViewId="0">
      <selection activeCell="L16" sqref="L16"/>
    </sheetView>
  </sheetViews>
  <sheetFormatPr defaultRowHeight="15" x14ac:dyDescent="0.25"/>
  <cols>
    <col min="1" max="1" width="43.7109375" customWidth="1"/>
    <col min="2" max="2" width="11.7109375" customWidth="1"/>
    <col min="3" max="4" width="8.7109375" customWidth="1"/>
    <col min="5" max="5" width="29.7109375" customWidth="1"/>
    <col min="6" max="6" width="8.7109375" customWidth="1"/>
  </cols>
  <sheetData>
    <row r="1" spans="1:6" x14ac:dyDescent="0.25">
      <c r="A1" t="s">
        <v>41</v>
      </c>
    </row>
    <row r="3" spans="1:6" x14ac:dyDescent="0.25">
      <c r="A3" t="s">
        <v>0</v>
      </c>
      <c r="E3" t="s">
        <v>23</v>
      </c>
    </row>
    <row r="4" spans="1:6" x14ac:dyDescent="0.25">
      <c r="A4" t="s">
        <v>1</v>
      </c>
      <c r="B4" t="s">
        <v>13</v>
      </c>
      <c r="E4" t="s">
        <v>24</v>
      </c>
      <c r="F4" t="s">
        <v>35</v>
      </c>
    </row>
    <row r="5" spans="1:6" x14ac:dyDescent="0.25">
      <c r="A5" t="s">
        <v>2</v>
      </c>
      <c r="B5" t="s">
        <v>14</v>
      </c>
      <c r="E5" t="s">
        <v>25</v>
      </c>
      <c r="F5" t="s">
        <v>36</v>
      </c>
    </row>
    <row r="6" spans="1:6" x14ac:dyDescent="0.25">
      <c r="A6" t="s">
        <v>3</v>
      </c>
      <c r="B6" t="s">
        <v>15</v>
      </c>
      <c r="E6" t="s">
        <v>26</v>
      </c>
      <c r="F6" t="s">
        <v>16</v>
      </c>
    </row>
    <row r="7" spans="1:6" x14ac:dyDescent="0.25">
      <c r="A7" t="s">
        <v>4</v>
      </c>
      <c r="B7" t="s">
        <v>16</v>
      </c>
    </row>
    <row r="9" spans="1:6" x14ac:dyDescent="0.25">
      <c r="A9" t="s">
        <v>5</v>
      </c>
      <c r="E9" t="s">
        <v>27</v>
      </c>
    </row>
    <row r="10" spans="1:6" x14ac:dyDescent="0.25">
      <c r="A10" t="s">
        <v>6</v>
      </c>
      <c r="B10" t="s">
        <v>17</v>
      </c>
      <c r="E10" t="s">
        <v>28</v>
      </c>
      <c r="F10" t="s">
        <v>15</v>
      </c>
    </row>
    <row r="11" spans="1:6" x14ac:dyDescent="0.25">
      <c r="A11" t="s">
        <v>7</v>
      </c>
      <c r="B11" t="s">
        <v>18</v>
      </c>
      <c r="E11" t="s">
        <v>29</v>
      </c>
      <c r="F11" t="s">
        <v>16</v>
      </c>
    </row>
    <row r="12" spans="1:6" x14ac:dyDescent="0.25">
      <c r="A12" t="s">
        <v>8</v>
      </c>
      <c r="B12" t="s">
        <v>19</v>
      </c>
      <c r="E12" t="s">
        <v>30</v>
      </c>
      <c r="F12" t="s">
        <v>37</v>
      </c>
    </row>
    <row r="14" spans="1:6" x14ac:dyDescent="0.25">
      <c r="A14" t="s">
        <v>9</v>
      </c>
      <c r="E14" t="s">
        <v>31</v>
      </c>
    </row>
    <row r="15" spans="1:6" x14ac:dyDescent="0.25">
      <c r="A15" t="s">
        <v>10</v>
      </c>
      <c r="B15" t="s">
        <v>20</v>
      </c>
      <c r="E15" t="s">
        <v>32</v>
      </c>
      <c r="F15" t="s">
        <v>38</v>
      </c>
    </row>
    <row r="16" spans="1:6" x14ac:dyDescent="0.25">
      <c r="A16" t="s">
        <v>11</v>
      </c>
      <c r="B16" t="s">
        <v>21</v>
      </c>
      <c r="E16" t="s">
        <v>33</v>
      </c>
      <c r="F16" t="s">
        <v>39</v>
      </c>
    </row>
    <row r="17" spans="1:6" x14ac:dyDescent="0.25">
      <c r="A17" t="s">
        <v>12</v>
      </c>
      <c r="B17" t="s">
        <v>22</v>
      </c>
      <c r="E17" t="s">
        <v>34</v>
      </c>
      <c r="F17" t="s">
        <v>40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6_Click">
                <anchor mov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11</xdr:col>
                    <xdr:colOff>447675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16"/>
  <sheetViews>
    <sheetView workbookViewId="0">
      <selection activeCell="N18" sqref="N18"/>
    </sheetView>
  </sheetViews>
  <sheetFormatPr defaultRowHeight="15" x14ac:dyDescent="0.25"/>
  <cols>
    <col min="1" max="1" width="13.7109375" customWidth="1"/>
    <col min="2" max="2" width="12.7109375" customWidth="1"/>
    <col min="3" max="3" width="26.7109375" customWidth="1"/>
    <col min="4" max="4" width="12.7109375" customWidth="1"/>
    <col min="5" max="5" width="13.7109375" customWidth="1"/>
    <col min="6" max="6" width="15.7109375" customWidth="1"/>
    <col min="7" max="7" width="21.7109375" customWidth="1"/>
    <col min="8" max="8" width="18.7109375" customWidth="1"/>
    <col min="9" max="9" width="28.7109375" customWidth="1"/>
  </cols>
  <sheetData>
    <row r="1" spans="1:9" x14ac:dyDescent="0.25">
      <c r="A1" t="s">
        <v>443</v>
      </c>
      <c r="B1" t="s">
        <v>130</v>
      </c>
      <c r="C1" t="s">
        <v>444</v>
      </c>
      <c r="D1" t="s">
        <v>445</v>
      </c>
      <c r="E1" t="s">
        <v>446</v>
      </c>
      <c r="F1" t="s">
        <v>137</v>
      </c>
      <c r="G1" t="s">
        <v>447</v>
      </c>
      <c r="H1" t="s">
        <v>448</v>
      </c>
      <c r="I1" t="s">
        <v>285</v>
      </c>
    </row>
    <row r="2" spans="1:9" x14ac:dyDescent="0.25">
      <c r="A2" t="s">
        <v>369</v>
      </c>
      <c r="B2" t="s">
        <v>42</v>
      </c>
      <c r="C2" t="s">
        <v>384</v>
      </c>
      <c r="D2" t="s">
        <v>387</v>
      </c>
      <c r="E2" t="s">
        <v>402</v>
      </c>
      <c r="F2" t="s">
        <v>417</v>
      </c>
      <c r="G2" t="s">
        <v>420</v>
      </c>
      <c r="H2" t="s">
        <v>425</v>
      </c>
    </row>
    <row r="3" spans="1:9" x14ac:dyDescent="0.25">
      <c r="A3" t="s">
        <v>370</v>
      </c>
      <c r="B3" t="s">
        <v>42</v>
      </c>
      <c r="C3" t="s">
        <v>385</v>
      </c>
      <c r="D3" t="s">
        <v>388</v>
      </c>
      <c r="E3" t="s">
        <v>403</v>
      </c>
      <c r="F3" t="s">
        <v>418</v>
      </c>
      <c r="G3" t="s">
        <v>421</v>
      </c>
      <c r="H3" t="s">
        <v>426</v>
      </c>
      <c r="I3" t="s">
        <v>438</v>
      </c>
    </row>
    <row r="4" spans="1:9" x14ac:dyDescent="0.25">
      <c r="A4" t="s">
        <v>371</v>
      </c>
      <c r="B4" t="s">
        <v>43</v>
      </c>
      <c r="C4" t="s">
        <v>384</v>
      </c>
      <c r="D4" t="s">
        <v>389</v>
      </c>
      <c r="E4" t="s">
        <v>404</v>
      </c>
      <c r="F4" t="s">
        <v>417</v>
      </c>
      <c r="G4" t="s">
        <v>420</v>
      </c>
      <c r="H4" t="s">
        <v>427</v>
      </c>
    </row>
    <row r="5" spans="1:9" x14ac:dyDescent="0.25">
      <c r="A5" t="s">
        <v>372</v>
      </c>
      <c r="B5" t="s">
        <v>43</v>
      </c>
      <c r="C5" t="s">
        <v>385</v>
      </c>
      <c r="D5" t="s">
        <v>390</v>
      </c>
      <c r="E5" t="s">
        <v>405</v>
      </c>
      <c r="F5" t="s">
        <v>417</v>
      </c>
      <c r="G5" t="s">
        <v>422</v>
      </c>
      <c r="H5" t="s">
        <v>428</v>
      </c>
    </row>
    <row r="6" spans="1:9" x14ac:dyDescent="0.25">
      <c r="A6" t="s">
        <v>373</v>
      </c>
      <c r="B6" t="s">
        <v>44</v>
      </c>
      <c r="C6" t="s">
        <v>384</v>
      </c>
      <c r="D6" t="s">
        <v>391</v>
      </c>
      <c r="E6" t="s">
        <v>406</v>
      </c>
      <c r="F6" t="s">
        <v>417</v>
      </c>
      <c r="G6" t="s">
        <v>420</v>
      </c>
      <c r="H6" t="s">
        <v>429</v>
      </c>
    </row>
    <row r="7" spans="1:9" x14ac:dyDescent="0.25">
      <c r="A7" t="s">
        <v>374</v>
      </c>
      <c r="B7" t="s">
        <v>44</v>
      </c>
      <c r="C7" t="s">
        <v>385</v>
      </c>
      <c r="D7" t="s">
        <v>392</v>
      </c>
      <c r="E7" t="s">
        <v>407</v>
      </c>
      <c r="F7" t="s">
        <v>418</v>
      </c>
      <c r="G7" t="s">
        <v>423</v>
      </c>
      <c r="H7" t="s">
        <v>430</v>
      </c>
      <c r="I7" t="s">
        <v>439</v>
      </c>
    </row>
    <row r="8" spans="1:9" x14ac:dyDescent="0.25">
      <c r="A8" t="s">
        <v>375</v>
      </c>
      <c r="B8" t="s">
        <v>45</v>
      </c>
      <c r="C8" t="s">
        <v>384</v>
      </c>
      <c r="D8" t="s">
        <v>393</v>
      </c>
      <c r="E8" t="s">
        <v>408</v>
      </c>
      <c r="F8" t="s">
        <v>418</v>
      </c>
      <c r="G8" t="s">
        <v>420</v>
      </c>
      <c r="H8" t="s">
        <v>416</v>
      </c>
      <c r="I8" t="s">
        <v>440</v>
      </c>
    </row>
    <row r="9" spans="1:9" x14ac:dyDescent="0.25">
      <c r="A9" t="s">
        <v>376</v>
      </c>
      <c r="B9" t="s">
        <v>45</v>
      </c>
      <c r="C9" t="s">
        <v>385</v>
      </c>
      <c r="D9" t="s">
        <v>394</v>
      </c>
      <c r="E9" t="s">
        <v>409</v>
      </c>
      <c r="F9" t="s">
        <v>419</v>
      </c>
      <c r="G9" t="s">
        <v>424</v>
      </c>
      <c r="H9" t="s">
        <v>431</v>
      </c>
      <c r="I9" t="s">
        <v>441</v>
      </c>
    </row>
    <row r="10" spans="1:9" x14ac:dyDescent="0.25">
      <c r="A10" t="s">
        <v>377</v>
      </c>
      <c r="B10" t="s">
        <v>46</v>
      </c>
      <c r="C10" t="s">
        <v>384</v>
      </c>
      <c r="D10" t="s">
        <v>395</v>
      </c>
      <c r="E10" t="s">
        <v>410</v>
      </c>
      <c r="F10" t="s">
        <v>417</v>
      </c>
      <c r="G10" t="s">
        <v>420</v>
      </c>
      <c r="H10" t="s">
        <v>432</v>
      </c>
    </row>
    <row r="11" spans="1:9" x14ac:dyDescent="0.25">
      <c r="A11" t="s">
        <v>378</v>
      </c>
      <c r="B11" t="s">
        <v>46</v>
      </c>
      <c r="C11" t="s">
        <v>385</v>
      </c>
      <c r="D11" t="s">
        <v>396</v>
      </c>
      <c r="E11" t="s">
        <v>411</v>
      </c>
      <c r="F11" t="s">
        <v>417</v>
      </c>
      <c r="G11" t="s">
        <v>421</v>
      </c>
      <c r="H11" t="s">
        <v>433</v>
      </c>
    </row>
    <row r="12" spans="1:9" x14ac:dyDescent="0.25">
      <c r="A12" t="s">
        <v>379</v>
      </c>
      <c r="B12" t="s">
        <v>97</v>
      </c>
      <c r="C12" t="s">
        <v>386</v>
      </c>
      <c r="D12" t="s">
        <v>397</v>
      </c>
      <c r="E12" t="s">
        <v>412</v>
      </c>
      <c r="F12" t="s">
        <v>417</v>
      </c>
      <c r="G12" t="s">
        <v>420</v>
      </c>
      <c r="H12" t="s">
        <v>434</v>
      </c>
    </row>
    <row r="13" spans="1:9" x14ac:dyDescent="0.25">
      <c r="A13" t="s">
        <v>380</v>
      </c>
      <c r="B13" t="s">
        <v>98</v>
      </c>
      <c r="C13" t="s">
        <v>386</v>
      </c>
      <c r="D13" t="s">
        <v>398</v>
      </c>
      <c r="E13" t="s">
        <v>413</v>
      </c>
      <c r="F13" t="s">
        <v>417</v>
      </c>
      <c r="G13" t="s">
        <v>420</v>
      </c>
      <c r="H13" t="s">
        <v>406</v>
      </c>
    </row>
    <row r="14" spans="1:9" x14ac:dyDescent="0.25">
      <c r="A14" t="s">
        <v>381</v>
      </c>
      <c r="B14" t="s">
        <v>99</v>
      </c>
      <c r="C14" t="s">
        <v>386</v>
      </c>
      <c r="D14" t="s">
        <v>399</v>
      </c>
      <c r="E14" t="s">
        <v>414</v>
      </c>
      <c r="F14" t="s">
        <v>417</v>
      </c>
      <c r="G14" t="s">
        <v>420</v>
      </c>
      <c r="H14" t="s">
        <v>435</v>
      </c>
    </row>
    <row r="15" spans="1:9" x14ac:dyDescent="0.25">
      <c r="A15" t="s">
        <v>382</v>
      </c>
      <c r="B15" t="s">
        <v>100</v>
      </c>
      <c r="C15" t="s">
        <v>386</v>
      </c>
      <c r="D15" t="s">
        <v>400</v>
      </c>
      <c r="E15" t="s">
        <v>415</v>
      </c>
      <c r="F15" t="s">
        <v>418</v>
      </c>
      <c r="G15" t="s">
        <v>420</v>
      </c>
      <c r="H15" t="s">
        <v>436</v>
      </c>
      <c r="I15" t="s">
        <v>442</v>
      </c>
    </row>
    <row r="16" spans="1:9" x14ac:dyDescent="0.25">
      <c r="A16" t="s">
        <v>383</v>
      </c>
      <c r="B16" t="s">
        <v>106</v>
      </c>
      <c r="C16" t="s">
        <v>386</v>
      </c>
      <c r="D16" t="s">
        <v>401</v>
      </c>
      <c r="E16" t="s">
        <v>416</v>
      </c>
      <c r="F16" t="s">
        <v>419</v>
      </c>
      <c r="G16" t="s">
        <v>420</v>
      </c>
      <c r="H16" t="s">
        <v>437</v>
      </c>
      <c r="I16" t="s">
        <v>441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L12"/>
  <sheetViews>
    <sheetView workbookViewId="0">
      <selection activeCell="H2" sqref="H2"/>
    </sheetView>
  </sheetViews>
  <sheetFormatPr defaultRowHeight="15" x14ac:dyDescent="0.25"/>
  <cols>
    <col min="1" max="1" width="16.7109375" customWidth="1"/>
    <col min="2" max="2" width="23.7109375" customWidth="1"/>
    <col min="3" max="3" width="21.7109375" customWidth="1"/>
    <col min="4" max="4" width="15.7109375" customWidth="1"/>
    <col min="5" max="5" width="17.7109375" customWidth="1"/>
    <col min="6" max="6" width="24.7109375" customWidth="1"/>
    <col min="7" max="7" width="12.7109375" customWidth="1"/>
    <col min="8" max="8" width="15.7109375" customWidth="1"/>
    <col min="9" max="9" width="24.7109375" customWidth="1"/>
    <col min="10" max="10" width="23.7109375" customWidth="1"/>
    <col min="11" max="11" width="18.7109375" customWidth="1"/>
    <col min="12" max="12" width="19.7109375" customWidth="1"/>
  </cols>
  <sheetData>
    <row r="1" spans="1:12" x14ac:dyDescent="0.25">
      <c r="A1" t="s">
        <v>359</v>
      </c>
      <c r="B1" t="s">
        <v>481</v>
      </c>
      <c r="C1" t="s">
        <v>482</v>
      </c>
      <c r="D1" t="s">
        <v>364</v>
      </c>
      <c r="E1" t="s">
        <v>365</v>
      </c>
      <c r="F1" t="s">
        <v>11</v>
      </c>
      <c r="G1" t="s">
        <v>366</v>
      </c>
      <c r="H1" t="s">
        <v>483</v>
      </c>
      <c r="I1" t="s">
        <v>355</v>
      </c>
      <c r="J1" t="s">
        <v>484</v>
      </c>
      <c r="K1" t="s">
        <v>485</v>
      </c>
      <c r="L1" t="s">
        <v>486</v>
      </c>
    </row>
    <row r="2" spans="1:12" x14ac:dyDescent="0.25">
      <c r="A2" t="s">
        <v>449</v>
      </c>
      <c r="B2">
        <v>120</v>
      </c>
      <c r="C2">
        <v>28500</v>
      </c>
      <c r="D2">
        <v>385000</v>
      </c>
      <c r="E2">
        <v>95000</v>
      </c>
      <c r="F2">
        <v>32000</v>
      </c>
      <c r="G2">
        <v>258000</v>
      </c>
      <c r="H2" t="s">
        <v>460</v>
      </c>
      <c r="I2">
        <v>6.5</v>
      </c>
      <c r="J2" t="s">
        <v>39</v>
      </c>
      <c r="K2">
        <v>2</v>
      </c>
      <c r="L2">
        <v>8</v>
      </c>
    </row>
    <row r="3" spans="1:12" x14ac:dyDescent="0.25">
      <c r="A3" t="s">
        <v>450</v>
      </c>
      <c r="B3">
        <v>108</v>
      </c>
      <c r="C3">
        <v>25800</v>
      </c>
      <c r="D3">
        <v>350000</v>
      </c>
      <c r="E3">
        <v>82000</v>
      </c>
      <c r="F3">
        <v>28500</v>
      </c>
      <c r="G3">
        <v>239500</v>
      </c>
      <c r="H3" t="s">
        <v>461</v>
      </c>
      <c r="I3">
        <v>6.3</v>
      </c>
      <c r="J3" t="s">
        <v>471</v>
      </c>
      <c r="K3">
        <v>3</v>
      </c>
      <c r="L3">
        <v>12</v>
      </c>
    </row>
    <row r="4" spans="1:12" x14ac:dyDescent="0.25">
      <c r="A4" t="s">
        <v>451</v>
      </c>
      <c r="B4">
        <v>115</v>
      </c>
      <c r="C4">
        <v>27200</v>
      </c>
      <c r="D4">
        <v>365000</v>
      </c>
      <c r="E4">
        <v>88000</v>
      </c>
      <c r="F4">
        <v>24000</v>
      </c>
      <c r="G4">
        <v>253000</v>
      </c>
      <c r="H4" t="s">
        <v>462</v>
      </c>
      <c r="I4">
        <v>6.7</v>
      </c>
      <c r="J4" t="s">
        <v>472</v>
      </c>
      <c r="K4">
        <v>1</v>
      </c>
      <c r="L4">
        <v>6</v>
      </c>
    </row>
    <row r="5" spans="1:12" x14ac:dyDescent="0.25">
      <c r="A5" t="s">
        <v>452</v>
      </c>
      <c r="B5">
        <v>98</v>
      </c>
      <c r="C5">
        <v>22500</v>
      </c>
      <c r="D5">
        <v>310000</v>
      </c>
      <c r="E5">
        <v>72000</v>
      </c>
      <c r="F5">
        <v>18500</v>
      </c>
      <c r="G5">
        <v>219500</v>
      </c>
      <c r="H5" t="s">
        <v>463</v>
      </c>
      <c r="I5">
        <v>6.2</v>
      </c>
      <c r="J5" t="s">
        <v>473</v>
      </c>
      <c r="K5">
        <v>4</v>
      </c>
      <c r="L5">
        <v>15</v>
      </c>
    </row>
    <row r="6" spans="1:12" x14ac:dyDescent="0.25">
      <c r="A6" t="s">
        <v>453</v>
      </c>
      <c r="B6">
        <v>105</v>
      </c>
      <c r="C6">
        <v>24800</v>
      </c>
      <c r="D6">
        <v>335000</v>
      </c>
      <c r="E6">
        <v>79000</v>
      </c>
      <c r="F6">
        <v>22000</v>
      </c>
      <c r="G6">
        <v>234000</v>
      </c>
      <c r="H6" t="s">
        <v>464</v>
      </c>
      <c r="I6">
        <v>6.4</v>
      </c>
      <c r="J6" t="s">
        <v>474</v>
      </c>
      <c r="K6">
        <v>2</v>
      </c>
      <c r="L6">
        <v>10</v>
      </c>
    </row>
    <row r="7" spans="1:12" x14ac:dyDescent="0.25">
      <c r="A7" t="s">
        <v>454</v>
      </c>
      <c r="B7">
        <v>112</v>
      </c>
      <c r="C7">
        <v>26500</v>
      </c>
      <c r="D7">
        <v>358000</v>
      </c>
      <c r="E7">
        <v>84000</v>
      </c>
      <c r="F7">
        <v>26000</v>
      </c>
      <c r="G7">
        <v>248000</v>
      </c>
      <c r="H7" t="s">
        <v>465</v>
      </c>
      <c r="I7">
        <v>6.6</v>
      </c>
      <c r="J7" t="s">
        <v>475</v>
      </c>
      <c r="K7">
        <v>1</v>
      </c>
      <c r="L7">
        <v>7</v>
      </c>
    </row>
    <row r="8" spans="1:12" x14ac:dyDescent="0.25">
      <c r="A8" t="s">
        <v>455</v>
      </c>
      <c r="B8">
        <v>110</v>
      </c>
      <c r="C8">
        <v>25900</v>
      </c>
      <c r="D8">
        <v>345000</v>
      </c>
      <c r="E8">
        <v>81000</v>
      </c>
      <c r="F8">
        <v>20000</v>
      </c>
      <c r="G8">
        <v>244000</v>
      </c>
      <c r="H8" t="s">
        <v>466</v>
      </c>
      <c r="I8">
        <v>6.5</v>
      </c>
      <c r="J8" t="s">
        <v>476</v>
      </c>
      <c r="K8">
        <v>3</v>
      </c>
      <c r="L8">
        <v>9</v>
      </c>
    </row>
    <row r="9" spans="1:12" x14ac:dyDescent="0.25">
      <c r="A9" t="s">
        <v>456</v>
      </c>
      <c r="B9">
        <v>125</v>
      </c>
      <c r="C9">
        <v>29500</v>
      </c>
      <c r="D9">
        <v>385000</v>
      </c>
      <c r="E9">
        <v>94000</v>
      </c>
      <c r="F9">
        <v>28500</v>
      </c>
      <c r="G9">
        <v>262500</v>
      </c>
      <c r="H9" t="s">
        <v>467</v>
      </c>
      <c r="I9">
        <v>6.8</v>
      </c>
      <c r="J9" t="s">
        <v>477</v>
      </c>
      <c r="K9">
        <v>0</v>
      </c>
      <c r="L9">
        <v>5</v>
      </c>
    </row>
    <row r="10" spans="1:12" x14ac:dyDescent="0.25">
      <c r="A10" t="s">
        <v>457</v>
      </c>
      <c r="B10">
        <v>118</v>
      </c>
      <c r="C10">
        <v>27800</v>
      </c>
      <c r="D10">
        <v>368000</v>
      </c>
      <c r="E10">
        <v>88500</v>
      </c>
      <c r="F10">
        <v>25000</v>
      </c>
      <c r="G10">
        <v>254500</v>
      </c>
      <c r="H10" t="s">
        <v>468</v>
      </c>
      <c r="I10">
        <v>6.7</v>
      </c>
      <c r="J10" t="s">
        <v>478</v>
      </c>
      <c r="K10">
        <v>2</v>
      </c>
      <c r="L10">
        <v>8</v>
      </c>
    </row>
    <row r="11" spans="1:12" x14ac:dyDescent="0.25">
      <c r="A11" t="s">
        <v>458</v>
      </c>
      <c r="B11">
        <v>95</v>
      </c>
      <c r="C11">
        <v>22000</v>
      </c>
      <c r="D11">
        <v>305000</v>
      </c>
      <c r="E11">
        <v>70000</v>
      </c>
      <c r="F11">
        <v>18000</v>
      </c>
      <c r="G11">
        <v>217000</v>
      </c>
      <c r="H11" t="s">
        <v>469</v>
      </c>
      <c r="I11">
        <v>6.1</v>
      </c>
      <c r="J11" t="s">
        <v>479</v>
      </c>
      <c r="K11">
        <v>5</v>
      </c>
      <c r="L11">
        <v>14</v>
      </c>
    </row>
    <row r="12" spans="1:12" x14ac:dyDescent="0.25">
      <c r="A12" t="s">
        <v>459</v>
      </c>
      <c r="B12">
        <v>128</v>
      </c>
      <c r="C12">
        <v>30200</v>
      </c>
      <c r="D12">
        <v>398000</v>
      </c>
      <c r="E12">
        <v>96000</v>
      </c>
      <c r="F12">
        <v>30000</v>
      </c>
      <c r="G12">
        <v>272000</v>
      </c>
      <c r="H12" t="s">
        <v>470</v>
      </c>
      <c r="I12">
        <v>6.9</v>
      </c>
      <c r="J12" t="s">
        <v>480</v>
      </c>
      <c r="K12">
        <v>1</v>
      </c>
      <c r="L12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Excel 4.0 Macros</vt:lpstr>
      </vt:variant>
      <vt:variant>
        <vt:i4>1</vt:i4>
      </vt:variant>
    </vt:vector>
  </HeadingPairs>
  <TitlesOfParts>
    <vt:vector size="10" baseType="lpstr">
      <vt:lpstr>Vehicle Master</vt:lpstr>
      <vt:lpstr>Driver Master</vt:lpstr>
      <vt:lpstr>Work Assignment</vt:lpstr>
      <vt:lpstr>Maintenance Log</vt:lpstr>
      <vt:lpstr>Fuel Tracking</vt:lpstr>
      <vt:lpstr>Performance Metrics</vt:lpstr>
      <vt:lpstr>Dashboard</vt:lpstr>
      <vt:lpstr>Document Tracking</vt:lpstr>
      <vt:lpstr>Monthly Report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B</dc:creator>
  <cp:lastModifiedBy>Ken B</cp:lastModifiedBy>
  <dcterms:created xsi:type="dcterms:W3CDTF">2025-11-21T08:05:06Z</dcterms:created>
  <dcterms:modified xsi:type="dcterms:W3CDTF">2026-01-21T13:44:46Z</dcterms:modified>
</cp:coreProperties>
</file>